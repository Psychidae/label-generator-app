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ki/Desktop/Automation_rabel/"/>
    </mc:Choice>
  </mc:AlternateContent>
  <xr:revisionPtr revIDLastSave="0" documentId="13_ncr:1_{8BC4F534-9DCA-6842-BD9B-B18039CC490E}" xr6:coauthVersionLast="47" xr6:coauthVersionMax="47" xr10:uidLastSave="{00000000-0000-0000-0000-000000000000}"/>
  <bookViews>
    <workbookView xWindow="12340" yWindow="500" windowWidth="26060" windowHeight="20100" xr2:uid="{75F334A5-953B-724A-9785-D6D1C70F8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1" l="1"/>
  <c r="Q25" i="1"/>
  <c r="R24" i="1"/>
  <c r="Q24" i="1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  <c r="R7" i="1"/>
  <c r="Q7" i="1"/>
  <c r="R6" i="1"/>
  <c r="Q6" i="1"/>
  <c r="R5" i="1"/>
  <c r="Q5" i="1"/>
  <c r="R4" i="1"/>
  <c r="Q4" i="1"/>
  <c r="R3" i="1"/>
  <c r="Q3" i="1"/>
  <c r="R2" i="1"/>
  <c r="Q2" i="1"/>
  <c r="R1" i="1"/>
  <c r="Q1" i="1"/>
</calcChain>
</file>

<file path=xl/sharedStrings.xml><?xml version="1.0" encoding="utf-8"?>
<sst xmlns="http://schemas.openxmlformats.org/spreadsheetml/2006/main" count="883" uniqueCount="207">
  <si>
    <t>横浜市栄区上郷町</t>
    <phoneticPr fontId="1"/>
  </si>
  <si>
    <t>JPN</t>
    <phoneticPr fontId="1"/>
  </si>
  <si>
    <t>Kanagawa</t>
    <phoneticPr fontId="1"/>
  </si>
  <si>
    <t>Segami_shiminnomori</t>
    <phoneticPr fontId="1"/>
  </si>
  <si>
    <t>honshu</t>
    <phoneticPr fontId="1"/>
  </si>
  <si>
    <t>Is</t>
    <phoneticPr fontId="1"/>
  </si>
  <si>
    <t>kamigo</t>
    <phoneticPr fontId="1"/>
  </si>
  <si>
    <t>cho</t>
    <phoneticPr fontId="1"/>
  </si>
  <si>
    <t>ⅲ</t>
    <phoneticPr fontId="1"/>
  </si>
  <si>
    <t>LK</t>
    <phoneticPr fontId="1"/>
  </si>
  <si>
    <t>Rena Kaneko</t>
    <phoneticPr fontId="1"/>
  </si>
  <si>
    <t>35.36328942189607, 139.5827630540383</t>
  </si>
  <si>
    <t>八王子市高尾町</t>
    <rPh sb="0" eb="4">
      <t>ハチオウ</t>
    </rPh>
    <rPh sb="4" eb="7">
      <t xml:space="preserve">タカオチョウ </t>
    </rPh>
    <phoneticPr fontId="1"/>
  </si>
  <si>
    <t>Tokyo</t>
    <phoneticPr fontId="1"/>
  </si>
  <si>
    <t>Takao</t>
    <phoneticPr fontId="1"/>
  </si>
  <si>
    <t>ⅳ</t>
    <phoneticPr fontId="1"/>
  </si>
  <si>
    <t>Masaki Yamaguchi</t>
    <phoneticPr fontId="1"/>
  </si>
  <si>
    <t>35.630101516958824, 139.256935525132</t>
  </si>
  <si>
    <t>八王子市南大沢</t>
    <rPh sb="0" eb="1">
      <t>ハチオウ</t>
    </rPh>
    <rPh sb="4" eb="7">
      <t>ミナミ</t>
    </rPh>
    <phoneticPr fontId="1"/>
  </si>
  <si>
    <t>Matsuki</t>
    <phoneticPr fontId="1"/>
  </si>
  <si>
    <t>Minamiosawa</t>
    <phoneticPr fontId="1"/>
  </si>
  <si>
    <t>ⅵ</t>
    <phoneticPr fontId="1"/>
  </si>
  <si>
    <t>LTP</t>
    <phoneticPr fontId="1"/>
  </si>
  <si>
    <t>35.61809393572498, 139.3815957377631</t>
  </si>
  <si>
    <t>石垣市野底</t>
    <rPh sb="0" eb="2">
      <t>イシガキ</t>
    </rPh>
    <rPh sb="2" eb="3">
      <t>s</t>
    </rPh>
    <rPh sb="3" eb="5">
      <t>ノソコ</t>
    </rPh>
    <phoneticPr fontId="1"/>
  </si>
  <si>
    <t>Okinawa</t>
    <phoneticPr fontId="1"/>
  </si>
  <si>
    <t>Mt.Nosoko</t>
    <phoneticPr fontId="1"/>
  </si>
  <si>
    <t>Ishigaki</t>
    <phoneticPr fontId="1"/>
  </si>
  <si>
    <t>itona</t>
    <phoneticPr fontId="1"/>
  </si>
  <si>
    <t>24.476994,124.229525</t>
  </si>
  <si>
    <t>横須賀市鴨居</t>
    <phoneticPr fontId="1"/>
  </si>
  <si>
    <t xml:space="preserve">Kanagawa </t>
    <phoneticPr fontId="1"/>
  </si>
  <si>
    <t>Kannonzaki</t>
    <phoneticPr fontId="1"/>
  </si>
  <si>
    <t>Honshu</t>
    <phoneticPr fontId="1"/>
  </si>
  <si>
    <t>Yokosuka</t>
    <phoneticPr fontId="1"/>
  </si>
  <si>
    <t>shi</t>
    <phoneticPr fontId="1"/>
  </si>
  <si>
    <t>35.256052,139.739837</t>
  </si>
  <si>
    <t>与那国島久宇良</t>
    <rPh sb="0" eb="3">
      <t xml:space="preserve">ヨナグニ </t>
    </rPh>
    <rPh sb="3" eb="4">
      <t xml:space="preserve">ジマ </t>
    </rPh>
    <rPh sb="4" eb="5">
      <t xml:space="preserve">ヒサシイ </t>
    </rPh>
    <rPh sb="5" eb="6">
      <t xml:space="preserve">ウダカ </t>
    </rPh>
    <rPh sb="6" eb="7">
      <t xml:space="preserve">ヨイ </t>
    </rPh>
    <phoneticPr fontId="1"/>
  </si>
  <si>
    <t>Mt.kuura</t>
    <phoneticPr fontId="1"/>
  </si>
  <si>
    <t>Yonaguni</t>
    <phoneticPr fontId="1"/>
  </si>
  <si>
    <t>24.44841928370347, 122.96818428164103</t>
  </si>
  <si>
    <t>山梨県北杜市金山平</t>
    <rPh sb="0" eb="3">
      <t xml:space="preserve">ヤマナシケン </t>
    </rPh>
    <rPh sb="3" eb="6">
      <t xml:space="preserve">ホクトシ </t>
    </rPh>
    <rPh sb="6" eb="9">
      <t xml:space="preserve">カナヤマダイラ </t>
    </rPh>
    <phoneticPr fontId="1"/>
  </si>
  <si>
    <t>Yamanashi</t>
    <phoneticPr fontId="1"/>
  </si>
  <si>
    <t>Kanayamadaira</t>
    <phoneticPr fontId="1"/>
  </si>
  <si>
    <t>Hokuto</t>
    <phoneticPr fontId="1"/>
  </si>
  <si>
    <t>35.87080796243536, 138.57665680489723</t>
  </si>
  <si>
    <t>長野県小海町</t>
    <rPh sb="0" eb="3">
      <t xml:space="preserve">ナガノケン </t>
    </rPh>
    <rPh sb="3" eb="5">
      <t xml:space="preserve">コウミチョウ </t>
    </rPh>
    <rPh sb="5" eb="6">
      <t xml:space="preserve">マチ </t>
    </rPh>
    <phoneticPr fontId="1"/>
  </si>
  <si>
    <t>Nagano</t>
    <phoneticPr fontId="1"/>
  </si>
  <si>
    <t>Yachiho</t>
    <phoneticPr fontId="1"/>
  </si>
  <si>
    <t xml:space="preserve">Honshu </t>
    <phoneticPr fontId="1"/>
  </si>
  <si>
    <t>Koumi</t>
    <phoneticPr fontId="1"/>
  </si>
  <si>
    <t>36.056894153487114, 138.3773357419425</t>
  </si>
  <si>
    <t>福島県岩瀬郡天栄村田良尾</t>
    <phoneticPr fontId="1"/>
  </si>
  <si>
    <t>Hukushima</t>
    <phoneticPr fontId="1"/>
  </si>
  <si>
    <t>Tarao</t>
    <phoneticPr fontId="1"/>
  </si>
  <si>
    <t>Tenei</t>
    <phoneticPr fontId="1"/>
  </si>
  <si>
    <t>mura</t>
    <phoneticPr fontId="1"/>
  </si>
  <si>
    <t>Ⅷ</t>
    <phoneticPr fontId="1"/>
  </si>
  <si>
    <t>37.26002050686948, 140.06084261506837</t>
  </si>
  <si>
    <r>
      <t>台北市北投区</t>
    </r>
    <r>
      <rPr>
        <sz val="12"/>
        <color theme="1"/>
        <rFont val="游ゴシック"/>
        <family val="3"/>
        <charset val="128"/>
        <scheme val="minor"/>
      </rPr>
      <t>温泉里</t>
    </r>
    <phoneticPr fontId="1"/>
  </si>
  <si>
    <t>TW</t>
    <phoneticPr fontId="1"/>
  </si>
  <si>
    <t>Taipei</t>
    <phoneticPr fontId="1"/>
  </si>
  <si>
    <t>Wenquan Li</t>
    <phoneticPr fontId="1"/>
  </si>
  <si>
    <t>Taiwan</t>
    <phoneticPr fontId="1"/>
  </si>
  <si>
    <t>Beitou</t>
    <phoneticPr fontId="1"/>
  </si>
  <si>
    <t>district</t>
    <phoneticPr fontId="1"/>
  </si>
  <si>
    <t>25.135181735085617, 121.50763063101324</t>
  </si>
  <si>
    <t xml:space="preserve">台北市士林区菁山里 </t>
    <phoneticPr fontId="1"/>
  </si>
  <si>
    <t>Jingshan</t>
    <phoneticPr fontId="1"/>
  </si>
  <si>
    <t>Shilin</t>
    <phoneticPr fontId="1"/>
  </si>
  <si>
    <t>25.187786160950246, 121.57331937258216</t>
  </si>
  <si>
    <t>台北市北投区湖田里</t>
    <rPh sb="6" eb="7">
      <t>ミズウミ</t>
    </rPh>
    <rPh sb="7" eb="8">
      <t xml:space="preserve">タ </t>
    </rPh>
    <rPh sb="8" eb="9">
      <t xml:space="preserve">サト </t>
    </rPh>
    <phoneticPr fontId="1"/>
  </si>
  <si>
    <t>Taipei</t>
  </si>
  <si>
    <t>Hutian Li</t>
    <phoneticPr fontId="1"/>
  </si>
  <si>
    <t xml:space="preserve">Taiwan </t>
    <phoneticPr fontId="1"/>
  </si>
  <si>
    <t>is</t>
    <phoneticPr fontId="1"/>
  </si>
  <si>
    <t>25.161026270867588, 121.54930495254332</t>
  </si>
  <si>
    <t>嘉義県梅山郷太和村</t>
    <phoneticPr fontId="1"/>
  </si>
  <si>
    <t>Chiayi</t>
  </si>
  <si>
    <t>Meishan</t>
  </si>
  <si>
    <t>Taihe</t>
  </si>
  <si>
    <t>village</t>
    <phoneticPr fontId="1"/>
  </si>
  <si>
    <t>25.16100684917405, 121.54925130836527</t>
    <phoneticPr fontId="1"/>
  </si>
  <si>
    <t>嘉義県阿里山郷楽野村</t>
    <phoneticPr fontId="1"/>
  </si>
  <si>
    <t>Alishan</t>
  </si>
  <si>
    <t>Leye</t>
  </si>
  <si>
    <t>23.478081241766997, 120.71770807947026</t>
  </si>
  <si>
    <t>山梨県北杜市</t>
  </si>
  <si>
    <t>Yamanashi</t>
  </si>
  <si>
    <t>Hokuto</t>
  </si>
  <si>
    <t>shi</t>
  </si>
  <si>
    <t>viii</t>
  </si>
  <si>
    <t>Masaki Yamaguchi</t>
  </si>
  <si>
    <t>35.81724157, 138.5518364</t>
  </si>
  <si>
    <t>Hayate Endo</t>
  </si>
  <si>
    <t>長野県上田市菅平高原</t>
  </si>
  <si>
    <t>Nagano</t>
  </si>
  <si>
    <t>Sugadairakōgen</t>
  </si>
  <si>
    <t>Ueda</t>
  </si>
  <si>
    <t>v</t>
  </si>
  <si>
    <t>36.52452327, 138.3470565</t>
  </si>
  <si>
    <t>長野県東御市新張</t>
  </si>
  <si>
    <t>Mihari</t>
  </si>
  <si>
    <t>Tomi</t>
  </si>
  <si>
    <t>36.42763328, 138.4196656</t>
  </si>
  <si>
    <t>東京都八王子市高尾町</t>
  </si>
  <si>
    <t>Tokyo</t>
  </si>
  <si>
    <t>Takaomachi</t>
  </si>
  <si>
    <t>Hachioji</t>
  </si>
  <si>
    <t>iv</t>
  </si>
  <si>
    <t>35.62984188, 139.251343</t>
  </si>
  <si>
    <t>山梨県上野原市西原</t>
  </si>
  <si>
    <t>Saihara</t>
  </si>
  <si>
    <t>Uenohara</t>
  </si>
  <si>
    <t>35.68804189, 139.0334569</t>
  </si>
  <si>
    <t>山梨県甲州市大和町田野</t>
  </si>
  <si>
    <t>Yamatochō Tano</t>
  </si>
  <si>
    <t>Koshu</t>
  </si>
  <si>
    <t>35.64326024, 138.8068379</t>
  </si>
  <si>
    <t>沖縄県石垣市屋良部岳</t>
    <rPh sb="6" eb="7">
      <t xml:space="preserve">ヤ </t>
    </rPh>
    <rPh sb="7" eb="8">
      <t xml:space="preserve">ヨシ </t>
    </rPh>
    <rPh sb="8" eb="9">
      <t xml:space="preserve">ブ </t>
    </rPh>
    <rPh sb="9" eb="10">
      <t xml:space="preserve">ダケ </t>
    </rPh>
    <phoneticPr fontId="3"/>
  </si>
  <si>
    <t>Okinawa</t>
  </si>
  <si>
    <t>Ishigaki</t>
  </si>
  <si>
    <t>Ishigaki</t>
    <phoneticPr fontId="3"/>
  </si>
  <si>
    <t>Is</t>
    <phoneticPr fontId="3"/>
  </si>
  <si>
    <t>ix</t>
  </si>
  <si>
    <t>24.44159247, 124.09682</t>
  </si>
  <si>
    <t>沖縄県石垣市屋良部岳</t>
    <phoneticPr fontId="1"/>
  </si>
  <si>
    <t>沖縄県石垣市南ぬ浜町</t>
  </si>
  <si>
    <t>Painuhamacho</t>
  </si>
  <si>
    <t>M.Yamaguchi&amp;R.Miyata</t>
  </si>
  <si>
    <t>24.33067461, 124.1570924</t>
  </si>
  <si>
    <t>24.44457004, 124.0806358</t>
  </si>
  <si>
    <t>沖縄県石垣市せせらぎ公園</t>
    <rPh sb="10" eb="12">
      <t>コウエn</t>
    </rPh>
    <phoneticPr fontId="1"/>
  </si>
  <si>
    <t>24.43314893, 124.2107579</t>
  </si>
  <si>
    <t>沖縄県石垣市野底</t>
    <rPh sb="6" eb="8">
      <t xml:space="preserve">ノソコ </t>
    </rPh>
    <phoneticPr fontId="1"/>
  </si>
  <si>
    <t>24.47698854, 124.2305727</t>
  </si>
  <si>
    <t>沖縄県石垣市白保</t>
    <rPh sb="6" eb="8">
      <t>シラホ</t>
    </rPh>
    <phoneticPr fontId="1"/>
  </si>
  <si>
    <t>24.40942892, 124.241064</t>
  </si>
  <si>
    <t>24.4457779, 124.0814494</t>
  </si>
  <si>
    <t>24.44159247, 124.09682</t>
    <phoneticPr fontId="1"/>
  </si>
  <si>
    <t>沖縄県石垣市崎枝</t>
    <phoneticPr fontId="1"/>
  </si>
  <si>
    <t>Sakieda</t>
  </si>
  <si>
    <t>24.43340833, 124.1024379</t>
    <phoneticPr fontId="1"/>
  </si>
  <si>
    <t>沖縄県石垣市野底</t>
    <rPh sb="6" eb="7">
      <t xml:space="preserve">ノソコ </t>
    </rPh>
    <phoneticPr fontId="1"/>
  </si>
  <si>
    <t>24.47735507, 124.2304046</t>
    <phoneticPr fontId="1"/>
  </si>
  <si>
    <t>東京都千代田区皇居</t>
    <rPh sb="0" eb="7">
      <t>トウキョウ</t>
    </rPh>
    <rPh sb="7" eb="9">
      <t xml:space="preserve">コウキョ </t>
    </rPh>
    <phoneticPr fontId="1"/>
  </si>
  <si>
    <t>JP</t>
  </si>
  <si>
    <t>吹上御苑</t>
    <rPh sb="0" eb="4">
      <t>フキアゲ</t>
    </rPh>
    <phoneticPr fontId="1"/>
  </si>
  <si>
    <t>Chiyoda</t>
    <phoneticPr fontId="1"/>
  </si>
  <si>
    <t>ku</t>
    <phoneticPr fontId="1"/>
  </si>
  <si>
    <t>Ⅳ</t>
    <phoneticPr fontId="1"/>
  </si>
  <si>
    <t>M.Yamaguchi</t>
    <phoneticPr fontId="1"/>
  </si>
  <si>
    <t>35.687067876801315, 139.75128420653903</t>
  </si>
  <si>
    <t>下道灌濠</t>
  </si>
  <si>
    <t>生物学研究所</t>
  </si>
  <si>
    <t>Ⅵ</t>
    <phoneticPr fontId="1"/>
  </si>
  <si>
    <t>下道灌濠</t>
    <phoneticPr fontId="1"/>
  </si>
  <si>
    <t>Ⅶ</t>
    <phoneticPr fontId="1"/>
  </si>
  <si>
    <t>道灌新道</t>
    <rPh sb="0" eb="1">
      <t>ドウ</t>
    </rPh>
    <rPh sb="1" eb="2">
      <t xml:space="preserve">カンガイ </t>
    </rPh>
    <rPh sb="2" eb="4">
      <t>シンミ</t>
    </rPh>
    <phoneticPr fontId="1"/>
  </si>
  <si>
    <t>吹上御苑</t>
    <phoneticPr fontId="1"/>
  </si>
  <si>
    <t>上道灌濠</t>
    <rPh sb="0" eb="1">
      <t>カミ</t>
    </rPh>
    <phoneticPr fontId="1"/>
  </si>
  <si>
    <t>上道灌壕</t>
    <rPh sb="0" eb="2">
      <t>カミミティ</t>
    </rPh>
    <rPh sb="2" eb="3">
      <t>カn</t>
    </rPh>
    <rPh sb="3" eb="4">
      <t>ゴウ</t>
    </rPh>
    <phoneticPr fontId="1"/>
  </si>
  <si>
    <t>沖縄県石垣市</t>
    <phoneticPr fontId="1"/>
  </si>
  <si>
    <t>Sakieda</t>
    <phoneticPr fontId="1"/>
  </si>
  <si>
    <t>x</t>
  </si>
  <si>
    <t>Light trap</t>
  </si>
  <si>
    <t>24.42969734, 124.0864524</t>
  </si>
  <si>
    <t>沖縄県竹富町西表</t>
  </si>
  <si>
    <t>Sonai</t>
    <phoneticPr fontId="1"/>
  </si>
  <si>
    <t>Iriomote</t>
  </si>
  <si>
    <t>Taketomi</t>
  </si>
  <si>
    <t>cho</t>
  </si>
  <si>
    <t>24.38715498, 123.7474173</t>
  </si>
  <si>
    <t>Puntarenas, Monteverde, Costa Rica</t>
    <phoneticPr fontId="3"/>
  </si>
  <si>
    <t>CR</t>
  </si>
  <si>
    <t>Puntarenas Province</t>
  </si>
  <si>
    <t>Estación biológica de Monteverde</t>
  </si>
  <si>
    <t>10.32154803, -84.80799068</t>
  </si>
  <si>
    <t>CIEE Study Abroad Monteverde</t>
  </si>
  <si>
    <t>10.28410812, -84.79846671</t>
  </si>
  <si>
    <t>Heredia, Sarapiqui, Costa Rica</t>
    <phoneticPr fontId="3"/>
  </si>
  <si>
    <t>Heredia Province</t>
  </si>
  <si>
    <t>La Selva Biological Station</t>
  </si>
  <si>
    <t>10.43413321, -84.0029672</t>
  </si>
  <si>
    <t>Taiwan, 桃園市</t>
    <phoneticPr fontId="3"/>
  </si>
  <si>
    <t>TW</t>
  </si>
  <si>
    <t>桃園市</t>
  </si>
  <si>
    <t>霞雲里</t>
    <phoneticPr fontId="3"/>
  </si>
  <si>
    <t>復興區</t>
  </si>
  <si>
    <t>iii</t>
  </si>
  <si>
    <t>24.8349139, 121.4078741</t>
  </si>
  <si>
    <t>Taiwan, 新竹縣</t>
    <phoneticPr fontId="3"/>
  </si>
  <si>
    <t>新竹縣</t>
  </si>
  <si>
    <t>秀巒村</t>
    <phoneticPr fontId="3"/>
  </si>
  <si>
    <r>
      <t>尖石</t>
    </r>
    <r>
      <rPr>
        <sz val="11"/>
        <color theme="1"/>
        <rFont val="游ゴシック"/>
        <family val="1"/>
        <charset val="136"/>
        <scheme val="minor"/>
      </rPr>
      <t>鄉</t>
    </r>
  </si>
  <si>
    <t>24.66505598, 121.2754107</t>
  </si>
  <si>
    <t>Taiwan, 新北市</t>
    <phoneticPr fontId="3"/>
  </si>
  <si>
    <t>新北市</t>
  </si>
  <si>
    <t>福山里</t>
    <phoneticPr fontId="3"/>
  </si>
  <si>
    <t>烏來區</t>
  </si>
  <si>
    <t>24.77774322, 121.4832934</t>
  </si>
  <si>
    <t>Taiwan, 花蓮縣</t>
    <phoneticPr fontId="3"/>
  </si>
  <si>
    <t>花蓮縣</t>
  </si>
  <si>
    <t>富世村</t>
    <phoneticPr fontId="3"/>
  </si>
  <si>
    <r>
      <t>秀林</t>
    </r>
    <r>
      <rPr>
        <sz val="11"/>
        <color theme="1"/>
        <rFont val="游ゴシック"/>
        <family val="1"/>
        <charset val="136"/>
        <scheme val="minor"/>
      </rPr>
      <t>鄉</t>
    </r>
  </si>
  <si>
    <t>24.17721271, 121.3723989</t>
  </si>
  <si>
    <t>24.19438319, 121.3840879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</si>
</sst>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);\(0.0000\)"/>
    <numFmt numFmtId="177" formatCode="0.0000_);[Red]\(0.0000\)"/>
  </numFmts>
  <fonts count="6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1"/>
      <color theme="1"/>
      <name val="游ゴシック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Alignment="1"/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DFCA-4625-B74B-984B-B0ADE33B15AA}">
  <dimension ref="A1:R77"/>
  <sheetViews>
    <sheetView tabSelected="1" workbookViewId="0">
      <selection activeCell="D59" sqref="D59:D66"/>
    </sheetView>
  </sheetViews>
  <sheetFormatPr baseColWidth="10" defaultRowHeight="20"/>
  <sheetData>
    <row r="1" spans="1:18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>
        <v>64</v>
      </c>
      <c r="K1">
        <v>2025</v>
      </c>
      <c r="L1" t="s">
        <v>8</v>
      </c>
      <c r="M1">
        <v>7</v>
      </c>
      <c r="N1" t="s">
        <v>9</v>
      </c>
      <c r="O1" t="s">
        <v>10</v>
      </c>
      <c r="P1" t="s">
        <v>11</v>
      </c>
      <c r="Q1" s="1" t="str">
        <f t="shared" ref="Q1:Q25" si="0">LEFT(P1, FIND(",", P1) - 1)</f>
        <v>35.36328942189607</v>
      </c>
      <c r="R1" s="2" t="str">
        <f t="shared" ref="R1:R25" si="1">TRIM(MID(P1, FIND(",", P1) + 1, LEN(P1)))</f>
        <v>139.5827630540383</v>
      </c>
    </row>
    <row r="2" spans="1:18">
      <c r="A2">
        <v>2</v>
      </c>
      <c r="B2" t="s">
        <v>12</v>
      </c>
      <c r="C2" t="s">
        <v>1</v>
      </c>
      <c r="D2" t="s">
        <v>13</v>
      </c>
      <c r="E2" t="s">
        <v>14</v>
      </c>
      <c r="F2" t="s">
        <v>4</v>
      </c>
      <c r="G2" t="s">
        <v>5</v>
      </c>
      <c r="H2" t="s">
        <v>14</v>
      </c>
      <c r="I2" t="s">
        <v>7</v>
      </c>
      <c r="J2">
        <v>424</v>
      </c>
      <c r="K2">
        <v>2025</v>
      </c>
      <c r="L2" t="s">
        <v>15</v>
      </c>
      <c r="M2">
        <v>25</v>
      </c>
      <c r="N2" s="2" t="s">
        <v>9</v>
      </c>
      <c r="O2" t="s">
        <v>16</v>
      </c>
      <c r="P2" s="2" t="s">
        <v>17</v>
      </c>
      <c r="Q2" s="1" t="str">
        <f t="shared" si="0"/>
        <v>35.630101516958824</v>
      </c>
      <c r="R2" s="2" t="str">
        <f t="shared" si="1"/>
        <v>139.256935525132</v>
      </c>
    </row>
    <row r="3" spans="1:18">
      <c r="A3">
        <v>3</v>
      </c>
      <c r="B3" t="s">
        <v>18</v>
      </c>
      <c r="C3" t="s">
        <v>1</v>
      </c>
      <c r="D3" t="s">
        <v>13</v>
      </c>
      <c r="E3" t="s">
        <v>19</v>
      </c>
      <c r="F3" t="s">
        <v>4</v>
      </c>
      <c r="G3" t="s">
        <v>5</v>
      </c>
      <c r="H3" t="s">
        <v>20</v>
      </c>
      <c r="J3">
        <v>135</v>
      </c>
      <c r="K3">
        <v>2025</v>
      </c>
      <c r="L3" t="s">
        <v>21</v>
      </c>
      <c r="M3">
        <v>16</v>
      </c>
      <c r="N3" t="s">
        <v>22</v>
      </c>
      <c r="O3" t="s">
        <v>16</v>
      </c>
      <c r="P3" s="2" t="s">
        <v>23</v>
      </c>
      <c r="Q3" s="1" t="str">
        <f t="shared" si="0"/>
        <v>35.61809393572498</v>
      </c>
      <c r="R3" s="2" t="str">
        <f t="shared" si="1"/>
        <v>139.3815957377631</v>
      </c>
    </row>
    <row r="4" spans="1:18">
      <c r="A4">
        <v>4</v>
      </c>
      <c r="B4" t="s">
        <v>18</v>
      </c>
      <c r="C4" t="s">
        <v>1</v>
      </c>
      <c r="D4" t="s">
        <v>13</v>
      </c>
      <c r="E4" t="s">
        <v>19</v>
      </c>
      <c r="F4" t="s">
        <v>4</v>
      </c>
      <c r="G4" t="s">
        <v>5</v>
      </c>
      <c r="H4" t="s">
        <v>20</v>
      </c>
      <c r="J4">
        <v>135</v>
      </c>
      <c r="K4">
        <v>2025</v>
      </c>
      <c r="L4" t="s">
        <v>21</v>
      </c>
      <c r="M4">
        <v>16</v>
      </c>
      <c r="N4" t="s">
        <v>22</v>
      </c>
      <c r="O4" t="s">
        <v>16</v>
      </c>
      <c r="P4" s="2" t="s">
        <v>23</v>
      </c>
      <c r="Q4" s="1" t="str">
        <f t="shared" si="0"/>
        <v>35.61809393572498</v>
      </c>
      <c r="R4" s="2" t="str">
        <f t="shared" si="1"/>
        <v>139.3815957377631</v>
      </c>
    </row>
    <row r="5" spans="1:18">
      <c r="A5">
        <v>5</v>
      </c>
      <c r="B5" t="s">
        <v>24</v>
      </c>
      <c r="C5" t="s">
        <v>1</v>
      </c>
      <c r="D5" t="s">
        <v>25</v>
      </c>
      <c r="E5" t="s">
        <v>26</v>
      </c>
      <c r="F5" t="s">
        <v>27</v>
      </c>
      <c r="G5" t="s">
        <v>5</v>
      </c>
      <c r="H5" t="s">
        <v>28</v>
      </c>
      <c r="J5">
        <v>51.9</v>
      </c>
      <c r="K5">
        <v>2025</v>
      </c>
      <c r="L5" t="s">
        <v>21</v>
      </c>
      <c r="M5">
        <v>11</v>
      </c>
      <c r="N5" t="s">
        <v>22</v>
      </c>
      <c r="O5" t="s">
        <v>16</v>
      </c>
      <c r="P5" s="2" t="s">
        <v>29</v>
      </c>
      <c r="Q5" s="1" t="str">
        <f t="shared" si="0"/>
        <v>24.476994</v>
      </c>
      <c r="R5" s="2" t="str">
        <f t="shared" si="1"/>
        <v>124.229525</v>
      </c>
    </row>
    <row r="6" spans="1:18">
      <c r="A6">
        <v>6</v>
      </c>
      <c r="B6" t="s">
        <v>30</v>
      </c>
      <c r="C6" t="s">
        <v>60</v>
      </c>
      <c r="D6" t="s">
        <v>31</v>
      </c>
      <c r="E6" t="s">
        <v>32</v>
      </c>
      <c r="F6" t="s">
        <v>33</v>
      </c>
      <c r="G6" t="s">
        <v>5</v>
      </c>
      <c r="H6" t="s">
        <v>34</v>
      </c>
      <c r="I6" t="s">
        <v>35</v>
      </c>
      <c r="J6">
        <v>23.4</v>
      </c>
      <c r="K6">
        <v>2025</v>
      </c>
      <c r="L6" t="s">
        <v>21</v>
      </c>
      <c r="M6">
        <v>9</v>
      </c>
      <c r="N6" s="2" t="s">
        <v>9</v>
      </c>
      <c r="O6" t="s">
        <v>16</v>
      </c>
      <c r="P6" s="2" t="s">
        <v>36</v>
      </c>
      <c r="Q6" s="1" t="str">
        <f t="shared" si="0"/>
        <v>35.256052</v>
      </c>
      <c r="R6" s="2" t="str">
        <f t="shared" si="1"/>
        <v>139.739837</v>
      </c>
    </row>
    <row r="7" spans="1:18">
      <c r="A7">
        <v>7</v>
      </c>
      <c r="B7" t="s">
        <v>37</v>
      </c>
      <c r="C7" t="s">
        <v>1</v>
      </c>
      <c r="D7" t="s">
        <v>25</v>
      </c>
      <c r="E7" t="s">
        <v>38</v>
      </c>
      <c r="F7" t="s">
        <v>39</v>
      </c>
      <c r="G7" t="s">
        <v>5</v>
      </c>
      <c r="H7" t="s">
        <v>39</v>
      </c>
      <c r="I7" t="s">
        <v>7</v>
      </c>
      <c r="J7">
        <v>31</v>
      </c>
      <c r="K7">
        <v>2025</v>
      </c>
      <c r="L7" t="s">
        <v>8</v>
      </c>
      <c r="M7">
        <v>15</v>
      </c>
      <c r="N7" t="s">
        <v>9</v>
      </c>
      <c r="O7" t="s">
        <v>16</v>
      </c>
      <c r="P7" s="2" t="s">
        <v>40</v>
      </c>
      <c r="Q7" s="1" t="str">
        <f t="shared" si="0"/>
        <v>24.44841928370347</v>
      </c>
      <c r="R7" s="2" t="str">
        <f t="shared" si="1"/>
        <v>122.96818428164103</v>
      </c>
    </row>
    <row r="8" spans="1:18">
      <c r="A8">
        <v>8</v>
      </c>
      <c r="B8" t="s">
        <v>41</v>
      </c>
      <c r="C8" t="s">
        <v>1</v>
      </c>
      <c r="D8" t="s">
        <v>42</v>
      </c>
      <c r="E8" t="s">
        <v>43</v>
      </c>
      <c r="F8" t="s">
        <v>33</v>
      </c>
      <c r="G8" t="s">
        <v>5</v>
      </c>
      <c r="H8" t="s">
        <v>44</v>
      </c>
      <c r="I8" t="s">
        <v>35</v>
      </c>
      <c r="J8">
        <v>1513</v>
      </c>
      <c r="K8">
        <v>2023</v>
      </c>
      <c r="L8" t="s">
        <v>15</v>
      </c>
      <c r="M8">
        <v>12</v>
      </c>
      <c r="N8" s="2" t="s">
        <v>9</v>
      </c>
      <c r="O8" t="s">
        <v>16</v>
      </c>
      <c r="P8" s="2" t="s">
        <v>45</v>
      </c>
      <c r="Q8" s="1" t="str">
        <f t="shared" si="0"/>
        <v>35.87080796243536</v>
      </c>
      <c r="R8" s="2" t="str">
        <f t="shared" si="1"/>
        <v>138.57665680489723</v>
      </c>
    </row>
    <row r="9" spans="1:18">
      <c r="A9">
        <v>9</v>
      </c>
      <c r="B9" t="s">
        <v>46</v>
      </c>
      <c r="C9" t="s">
        <v>1</v>
      </c>
      <c r="D9" t="s">
        <v>47</v>
      </c>
      <c r="E9" t="s">
        <v>48</v>
      </c>
      <c r="F9" t="s">
        <v>49</v>
      </c>
      <c r="G9" t="s">
        <v>5</v>
      </c>
      <c r="H9" t="s">
        <v>50</v>
      </c>
      <c r="I9" t="s">
        <v>7</v>
      </c>
      <c r="J9">
        <v>1802</v>
      </c>
      <c r="K9">
        <v>2024</v>
      </c>
      <c r="L9" t="s">
        <v>15</v>
      </c>
      <c r="M9">
        <v>20</v>
      </c>
      <c r="N9" t="s">
        <v>9</v>
      </c>
      <c r="O9" t="s">
        <v>16</v>
      </c>
      <c r="P9" s="2" t="s">
        <v>51</v>
      </c>
      <c r="Q9" s="1" t="str">
        <f t="shared" si="0"/>
        <v>36.056894153487114</v>
      </c>
      <c r="R9" s="2" t="str">
        <f t="shared" si="1"/>
        <v>138.3773357419425</v>
      </c>
    </row>
    <row r="10" spans="1:18">
      <c r="A10">
        <v>10</v>
      </c>
      <c r="B10" t="s">
        <v>52</v>
      </c>
      <c r="C10" t="s">
        <v>1</v>
      </c>
      <c r="D10" t="s">
        <v>53</v>
      </c>
      <c r="E10" t="s">
        <v>54</v>
      </c>
      <c r="F10" t="s">
        <v>33</v>
      </c>
      <c r="G10" t="s">
        <v>5</v>
      </c>
      <c r="H10" t="s">
        <v>55</v>
      </c>
      <c r="I10" t="s">
        <v>56</v>
      </c>
      <c r="J10">
        <v>955</v>
      </c>
      <c r="K10">
        <v>2025</v>
      </c>
      <c r="L10" t="s">
        <v>57</v>
      </c>
      <c r="M10">
        <v>2</v>
      </c>
      <c r="N10" s="2" t="s">
        <v>22</v>
      </c>
      <c r="O10" t="s">
        <v>16</v>
      </c>
      <c r="P10" s="2" t="s">
        <v>58</v>
      </c>
      <c r="Q10" s="1" t="str">
        <f t="shared" si="0"/>
        <v>37.26002050686948</v>
      </c>
      <c r="R10" s="2" t="str">
        <f t="shared" si="1"/>
        <v>140.06084261506837</v>
      </c>
    </row>
    <row r="11" spans="1:18">
      <c r="A11">
        <v>11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5</v>
      </c>
      <c r="H11" t="s">
        <v>64</v>
      </c>
      <c r="I11" t="s">
        <v>65</v>
      </c>
      <c r="J11">
        <v>60</v>
      </c>
      <c r="K11">
        <v>2025</v>
      </c>
      <c r="L11" t="s">
        <v>21</v>
      </c>
      <c r="M11">
        <v>23</v>
      </c>
      <c r="N11" t="s">
        <v>22</v>
      </c>
      <c r="O11" t="s">
        <v>16</v>
      </c>
      <c r="P11" s="2" t="s">
        <v>66</v>
      </c>
      <c r="Q11" s="1" t="str">
        <f t="shared" si="0"/>
        <v>25.135181735085617</v>
      </c>
      <c r="R11" s="2" t="str">
        <f t="shared" si="1"/>
        <v>121.50763063101324</v>
      </c>
    </row>
    <row r="12" spans="1:18">
      <c r="A12">
        <v>12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5</v>
      </c>
      <c r="H12" t="s">
        <v>64</v>
      </c>
      <c r="I12" t="s">
        <v>65</v>
      </c>
      <c r="J12">
        <v>60</v>
      </c>
      <c r="K12">
        <v>2025</v>
      </c>
      <c r="L12" t="s">
        <v>21</v>
      </c>
      <c r="M12">
        <v>23</v>
      </c>
      <c r="N12" t="s">
        <v>22</v>
      </c>
      <c r="O12" t="s">
        <v>16</v>
      </c>
      <c r="P12" s="2" t="s">
        <v>66</v>
      </c>
      <c r="Q12" s="1" t="str">
        <f t="shared" si="0"/>
        <v>25.135181735085617</v>
      </c>
      <c r="R12" s="2" t="str">
        <f t="shared" si="1"/>
        <v>121.50763063101324</v>
      </c>
    </row>
    <row r="13" spans="1:18">
      <c r="A13">
        <v>13</v>
      </c>
      <c r="B13" t="s">
        <v>67</v>
      </c>
      <c r="C13" t="s">
        <v>60</v>
      </c>
      <c r="D13" t="s">
        <v>61</v>
      </c>
      <c r="E13" t="s">
        <v>68</v>
      </c>
      <c r="F13" t="s">
        <v>63</v>
      </c>
      <c r="G13" t="s">
        <v>5</v>
      </c>
      <c r="H13" t="s">
        <v>69</v>
      </c>
      <c r="I13" t="s">
        <v>65</v>
      </c>
      <c r="J13">
        <v>420</v>
      </c>
      <c r="K13">
        <v>2025</v>
      </c>
      <c r="L13" t="s">
        <v>21</v>
      </c>
      <c r="M13">
        <v>24</v>
      </c>
      <c r="N13" s="2" t="s">
        <v>22</v>
      </c>
      <c r="O13" t="s">
        <v>16</v>
      </c>
      <c r="P13" s="2" t="s">
        <v>70</v>
      </c>
      <c r="Q13" s="1" t="str">
        <f t="shared" si="0"/>
        <v>25.187786160950246</v>
      </c>
      <c r="R13" s="2" t="str">
        <f t="shared" si="1"/>
        <v>121.57331937258216</v>
      </c>
    </row>
    <row r="14" spans="1:18">
      <c r="A14">
        <v>14</v>
      </c>
      <c r="B14" t="s">
        <v>67</v>
      </c>
      <c r="C14" t="s">
        <v>60</v>
      </c>
      <c r="D14" t="s">
        <v>61</v>
      </c>
      <c r="E14" t="s">
        <v>68</v>
      </c>
      <c r="F14" t="s">
        <v>63</v>
      </c>
      <c r="G14" t="s">
        <v>5</v>
      </c>
      <c r="H14" t="s">
        <v>69</v>
      </c>
      <c r="I14" t="s">
        <v>65</v>
      </c>
      <c r="J14">
        <v>420</v>
      </c>
      <c r="K14">
        <v>2025</v>
      </c>
      <c r="L14" t="s">
        <v>21</v>
      </c>
      <c r="M14">
        <v>24</v>
      </c>
      <c r="N14" s="2" t="s">
        <v>22</v>
      </c>
      <c r="O14" t="s">
        <v>16</v>
      </c>
      <c r="P14" s="2" t="s">
        <v>70</v>
      </c>
      <c r="Q14" s="1" t="str">
        <f t="shared" si="0"/>
        <v>25.187786160950246</v>
      </c>
      <c r="R14" s="2" t="str">
        <f t="shared" si="1"/>
        <v>121.57331937258216</v>
      </c>
    </row>
    <row r="15" spans="1:18">
      <c r="A15">
        <v>15</v>
      </c>
      <c r="B15" t="s">
        <v>67</v>
      </c>
      <c r="C15" t="s">
        <v>60</v>
      </c>
      <c r="D15" t="s">
        <v>61</v>
      </c>
      <c r="E15" t="s">
        <v>68</v>
      </c>
      <c r="F15" t="s">
        <v>63</v>
      </c>
      <c r="G15" t="s">
        <v>5</v>
      </c>
      <c r="H15" t="s">
        <v>69</v>
      </c>
      <c r="I15" t="s">
        <v>65</v>
      </c>
      <c r="J15">
        <v>420</v>
      </c>
      <c r="K15">
        <v>2025</v>
      </c>
      <c r="L15" t="s">
        <v>21</v>
      </c>
      <c r="M15">
        <v>24</v>
      </c>
      <c r="N15" s="2" t="s">
        <v>22</v>
      </c>
      <c r="O15" t="s">
        <v>16</v>
      </c>
      <c r="P15" s="2" t="s">
        <v>70</v>
      </c>
      <c r="Q15" s="1" t="str">
        <f t="shared" si="0"/>
        <v>25.187786160950246</v>
      </c>
      <c r="R15" s="2" t="str">
        <f t="shared" si="1"/>
        <v>121.57331937258216</v>
      </c>
    </row>
    <row r="16" spans="1:18">
      <c r="A16">
        <v>16</v>
      </c>
      <c r="B16" t="s">
        <v>71</v>
      </c>
      <c r="C16" t="s">
        <v>60</v>
      </c>
      <c r="D16" t="s">
        <v>72</v>
      </c>
      <c r="E16" t="s">
        <v>73</v>
      </c>
      <c r="F16" t="s">
        <v>74</v>
      </c>
      <c r="G16" t="s">
        <v>75</v>
      </c>
      <c r="H16" t="s">
        <v>64</v>
      </c>
      <c r="I16" t="s">
        <v>65</v>
      </c>
      <c r="J16">
        <v>640</v>
      </c>
      <c r="K16">
        <v>2025</v>
      </c>
      <c r="L16" t="s">
        <v>21</v>
      </c>
      <c r="M16">
        <v>25</v>
      </c>
      <c r="N16" s="2" t="s">
        <v>22</v>
      </c>
      <c r="O16" t="s">
        <v>16</v>
      </c>
      <c r="P16" s="2" t="s">
        <v>76</v>
      </c>
      <c r="Q16" s="1" t="str">
        <f t="shared" si="0"/>
        <v>25.161026270867588</v>
      </c>
      <c r="R16" s="2" t="str">
        <f t="shared" si="1"/>
        <v>121.54930495254332</v>
      </c>
    </row>
    <row r="17" spans="1:18">
      <c r="A17">
        <v>17</v>
      </c>
      <c r="B17" t="s">
        <v>71</v>
      </c>
      <c r="C17" t="s">
        <v>60</v>
      </c>
      <c r="D17" t="s">
        <v>72</v>
      </c>
      <c r="E17" t="s">
        <v>73</v>
      </c>
      <c r="F17" t="s">
        <v>74</v>
      </c>
      <c r="G17" t="s">
        <v>75</v>
      </c>
      <c r="H17" t="s">
        <v>64</v>
      </c>
      <c r="I17" t="s">
        <v>65</v>
      </c>
      <c r="J17">
        <v>640</v>
      </c>
      <c r="K17">
        <v>2025</v>
      </c>
      <c r="L17" t="s">
        <v>21</v>
      </c>
      <c r="M17">
        <v>25</v>
      </c>
      <c r="N17" s="2" t="s">
        <v>22</v>
      </c>
      <c r="O17" t="s">
        <v>16</v>
      </c>
      <c r="P17" s="2" t="s">
        <v>76</v>
      </c>
      <c r="Q17" s="1" t="str">
        <f t="shared" si="0"/>
        <v>25.161026270867588</v>
      </c>
      <c r="R17" s="2" t="str">
        <f t="shared" si="1"/>
        <v>121.54930495254332</v>
      </c>
    </row>
    <row r="18" spans="1:18">
      <c r="A18">
        <v>18</v>
      </c>
      <c r="B18" t="s">
        <v>71</v>
      </c>
      <c r="C18" t="s">
        <v>60</v>
      </c>
      <c r="D18" t="s">
        <v>72</v>
      </c>
      <c r="E18" t="s">
        <v>73</v>
      </c>
      <c r="F18" t="s">
        <v>74</v>
      </c>
      <c r="G18" t="s">
        <v>75</v>
      </c>
      <c r="H18" t="s">
        <v>64</v>
      </c>
      <c r="I18" t="s">
        <v>65</v>
      </c>
      <c r="J18">
        <v>640</v>
      </c>
      <c r="K18">
        <v>2025</v>
      </c>
      <c r="L18" t="s">
        <v>21</v>
      </c>
      <c r="M18">
        <v>25</v>
      </c>
      <c r="N18" s="2" t="s">
        <v>22</v>
      </c>
      <c r="O18" t="s">
        <v>16</v>
      </c>
      <c r="P18" s="2" t="s">
        <v>76</v>
      </c>
      <c r="Q18" s="1" t="str">
        <f t="shared" si="0"/>
        <v>25.161026270867588</v>
      </c>
      <c r="R18" s="2" t="str">
        <f t="shared" si="1"/>
        <v>121.54930495254332</v>
      </c>
    </row>
    <row r="19" spans="1:18">
      <c r="A19">
        <v>19</v>
      </c>
      <c r="B19" t="s">
        <v>71</v>
      </c>
      <c r="C19" t="s">
        <v>60</v>
      </c>
      <c r="D19" t="s">
        <v>72</v>
      </c>
      <c r="E19" t="s">
        <v>73</v>
      </c>
      <c r="F19" t="s">
        <v>74</v>
      </c>
      <c r="G19" t="s">
        <v>75</v>
      </c>
      <c r="H19" t="s">
        <v>64</v>
      </c>
      <c r="I19" t="s">
        <v>65</v>
      </c>
      <c r="J19">
        <v>640</v>
      </c>
      <c r="K19">
        <v>2025</v>
      </c>
      <c r="L19" t="s">
        <v>21</v>
      </c>
      <c r="M19">
        <v>25</v>
      </c>
      <c r="N19" s="2" t="s">
        <v>22</v>
      </c>
      <c r="O19" t="s">
        <v>16</v>
      </c>
      <c r="P19" s="2" t="s">
        <v>76</v>
      </c>
      <c r="Q19" s="1" t="str">
        <f t="shared" si="0"/>
        <v>25.161026270867588</v>
      </c>
      <c r="R19" s="2" t="str">
        <f t="shared" si="1"/>
        <v>121.54930495254332</v>
      </c>
    </row>
    <row r="20" spans="1:18">
      <c r="A20">
        <v>20</v>
      </c>
      <c r="B20" t="s">
        <v>77</v>
      </c>
      <c r="C20" t="s">
        <v>60</v>
      </c>
      <c r="D20" t="s">
        <v>78</v>
      </c>
      <c r="E20" t="s">
        <v>79</v>
      </c>
      <c r="F20" t="s">
        <v>74</v>
      </c>
      <c r="G20" t="s">
        <v>5</v>
      </c>
      <c r="H20" t="s">
        <v>80</v>
      </c>
      <c r="I20" t="s">
        <v>81</v>
      </c>
      <c r="J20">
        <v>1700</v>
      </c>
      <c r="K20">
        <v>2025</v>
      </c>
      <c r="L20" t="s">
        <v>21</v>
      </c>
      <c r="M20">
        <v>27</v>
      </c>
      <c r="N20" s="2" t="s">
        <v>22</v>
      </c>
      <c r="O20" t="s">
        <v>16</v>
      </c>
      <c r="P20" s="2" t="s">
        <v>82</v>
      </c>
      <c r="Q20" s="1" t="str">
        <f t="shared" si="0"/>
        <v>25.16100684917405</v>
      </c>
      <c r="R20" s="2" t="str">
        <f t="shared" si="1"/>
        <v>121.54925130836527</v>
      </c>
    </row>
    <row r="21" spans="1:18">
      <c r="A21">
        <v>21</v>
      </c>
      <c r="B21" t="s">
        <v>77</v>
      </c>
      <c r="C21" t="s">
        <v>60</v>
      </c>
      <c r="D21" t="s">
        <v>78</v>
      </c>
      <c r="E21" t="s">
        <v>79</v>
      </c>
      <c r="F21" t="s">
        <v>74</v>
      </c>
      <c r="G21" t="s">
        <v>5</v>
      </c>
      <c r="H21" t="s">
        <v>80</v>
      </c>
      <c r="I21" t="s">
        <v>81</v>
      </c>
      <c r="J21">
        <v>1700</v>
      </c>
      <c r="K21">
        <v>2025</v>
      </c>
      <c r="L21" t="s">
        <v>21</v>
      </c>
      <c r="M21">
        <v>27</v>
      </c>
      <c r="N21" s="2" t="s">
        <v>22</v>
      </c>
      <c r="O21" t="s">
        <v>16</v>
      </c>
      <c r="P21" s="2" t="s">
        <v>82</v>
      </c>
      <c r="Q21" s="1" t="str">
        <f t="shared" si="0"/>
        <v>25.16100684917405</v>
      </c>
      <c r="R21" s="2" t="str">
        <f t="shared" si="1"/>
        <v>121.54925130836527</v>
      </c>
    </row>
    <row r="22" spans="1:18">
      <c r="A22">
        <v>22</v>
      </c>
      <c r="B22" t="s">
        <v>77</v>
      </c>
      <c r="C22" t="s">
        <v>60</v>
      </c>
      <c r="D22" t="s">
        <v>78</v>
      </c>
      <c r="E22" t="s">
        <v>79</v>
      </c>
      <c r="F22" t="s">
        <v>74</v>
      </c>
      <c r="G22" t="s">
        <v>5</v>
      </c>
      <c r="H22" t="s">
        <v>80</v>
      </c>
      <c r="I22" t="s">
        <v>81</v>
      </c>
      <c r="J22">
        <v>1700</v>
      </c>
      <c r="K22">
        <v>2025</v>
      </c>
      <c r="L22" t="s">
        <v>21</v>
      </c>
      <c r="M22">
        <v>27</v>
      </c>
      <c r="N22" s="2" t="s">
        <v>22</v>
      </c>
      <c r="O22" t="s">
        <v>16</v>
      </c>
      <c r="P22" s="2" t="s">
        <v>82</v>
      </c>
      <c r="Q22" s="1" t="str">
        <f t="shared" si="0"/>
        <v>25.16100684917405</v>
      </c>
      <c r="R22" s="2" t="str">
        <f t="shared" si="1"/>
        <v>121.54925130836527</v>
      </c>
    </row>
    <row r="23" spans="1:18">
      <c r="A23">
        <v>23</v>
      </c>
      <c r="B23" t="s">
        <v>83</v>
      </c>
      <c r="C23" t="s">
        <v>60</v>
      </c>
      <c r="D23" t="s">
        <v>78</v>
      </c>
      <c r="E23" t="s">
        <v>84</v>
      </c>
      <c r="F23" t="s">
        <v>63</v>
      </c>
      <c r="G23" t="s">
        <v>5</v>
      </c>
      <c r="H23" t="s">
        <v>85</v>
      </c>
      <c r="I23" t="s">
        <v>81</v>
      </c>
      <c r="J23">
        <v>1360</v>
      </c>
      <c r="K23">
        <v>2025</v>
      </c>
      <c r="L23" t="s">
        <v>21</v>
      </c>
      <c r="M23">
        <v>28</v>
      </c>
      <c r="N23" s="2" t="s">
        <v>22</v>
      </c>
      <c r="O23" t="s">
        <v>16</v>
      </c>
      <c r="P23" s="2" t="s">
        <v>86</v>
      </c>
      <c r="Q23" s="1" t="str">
        <f t="shared" si="0"/>
        <v>23.478081241766997</v>
      </c>
      <c r="R23" s="2" t="str">
        <f t="shared" si="1"/>
        <v>120.71770807947026</v>
      </c>
    </row>
    <row r="24" spans="1:18">
      <c r="A24">
        <v>24</v>
      </c>
      <c r="B24" t="s">
        <v>83</v>
      </c>
      <c r="C24" t="s">
        <v>60</v>
      </c>
      <c r="D24" t="s">
        <v>78</v>
      </c>
      <c r="E24" t="s">
        <v>84</v>
      </c>
      <c r="F24" t="s">
        <v>63</v>
      </c>
      <c r="G24" t="s">
        <v>5</v>
      </c>
      <c r="H24" t="s">
        <v>85</v>
      </c>
      <c r="I24" t="s">
        <v>81</v>
      </c>
      <c r="J24">
        <v>1360</v>
      </c>
      <c r="K24">
        <v>2025</v>
      </c>
      <c r="L24" t="s">
        <v>21</v>
      </c>
      <c r="M24">
        <v>28</v>
      </c>
      <c r="N24" s="2" t="s">
        <v>22</v>
      </c>
      <c r="O24" t="s">
        <v>16</v>
      </c>
      <c r="P24" s="2" t="s">
        <v>86</v>
      </c>
      <c r="Q24" s="1" t="str">
        <f t="shared" si="0"/>
        <v>23.478081241766997</v>
      </c>
      <c r="R24" s="2" t="str">
        <f t="shared" si="1"/>
        <v>120.71770807947026</v>
      </c>
    </row>
    <row r="25" spans="1:18">
      <c r="A25">
        <v>25</v>
      </c>
      <c r="B25" t="s">
        <v>83</v>
      </c>
      <c r="C25" t="s">
        <v>60</v>
      </c>
      <c r="D25" t="s">
        <v>78</v>
      </c>
      <c r="E25" t="s">
        <v>84</v>
      </c>
      <c r="F25" t="s">
        <v>63</v>
      </c>
      <c r="G25" t="s">
        <v>5</v>
      </c>
      <c r="H25" t="s">
        <v>85</v>
      </c>
      <c r="I25" t="s">
        <v>81</v>
      </c>
      <c r="J25">
        <v>1360</v>
      </c>
      <c r="K25">
        <v>2025</v>
      </c>
      <c r="L25" t="s">
        <v>21</v>
      </c>
      <c r="M25">
        <v>28</v>
      </c>
      <c r="N25" s="2" t="s">
        <v>22</v>
      </c>
      <c r="O25" t="s">
        <v>16</v>
      </c>
      <c r="P25" s="2" t="s">
        <v>86</v>
      </c>
      <c r="Q25" s="1" t="str">
        <f t="shared" si="0"/>
        <v>23.478081241766997</v>
      </c>
      <c r="R25" s="2" t="str">
        <f t="shared" si="1"/>
        <v>120.71770807947026</v>
      </c>
    </row>
    <row r="26" spans="1:18">
      <c r="A26">
        <v>1</v>
      </c>
      <c r="B26" s="3" t="s">
        <v>87</v>
      </c>
      <c r="C26" s="3" t="s">
        <v>1</v>
      </c>
      <c r="D26" s="3" t="s">
        <v>88</v>
      </c>
      <c r="E26" s="3" t="s">
        <v>89</v>
      </c>
      <c r="F26" t="s">
        <v>49</v>
      </c>
      <c r="G26" t="s">
        <v>5</v>
      </c>
      <c r="H26" s="3" t="s">
        <v>89</v>
      </c>
      <c r="I26" s="3" t="s">
        <v>90</v>
      </c>
      <c r="J26" s="3">
        <v>1545</v>
      </c>
      <c r="K26" s="3">
        <v>2025</v>
      </c>
      <c r="L26" s="3" t="s">
        <v>91</v>
      </c>
      <c r="M26" s="3">
        <v>22</v>
      </c>
      <c r="N26" s="3" t="s">
        <v>22</v>
      </c>
      <c r="O26" s="3" t="s">
        <v>92</v>
      </c>
      <c r="P26" s="3" t="s">
        <v>93</v>
      </c>
      <c r="Q26" s="3">
        <v>35.81724157</v>
      </c>
      <c r="R26" s="3">
        <v>138.55183640000001</v>
      </c>
    </row>
    <row r="27" spans="1:18">
      <c r="A27">
        <v>2</v>
      </c>
      <c r="B27" s="3" t="s">
        <v>87</v>
      </c>
      <c r="C27" s="3" t="s">
        <v>1</v>
      </c>
      <c r="D27" s="3" t="s">
        <v>88</v>
      </c>
      <c r="E27" s="3" t="s">
        <v>89</v>
      </c>
      <c r="F27" t="s">
        <v>49</v>
      </c>
      <c r="G27" t="s">
        <v>5</v>
      </c>
      <c r="H27" s="3" t="s">
        <v>89</v>
      </c>
      <c r="I27" s="3" t="s">
        <v>90</v>
      </c>
      <c r="J27" s="3">
        <v>1545</v>
      </c>
      <c r="K27" s="3">
        <v>2025</v>
      </c>
      <c r="L27" s="3" t="s">
        <v>91</v>
      </c>
      <c r="M27" s="3">
        <v>22</v>
      </c>
      <c r="N27" s="3" t="s">
        <v>22</v>
      </c>
      <c r="O27" s="3" t="s">
        <v>92</v>
      </c>
      <c r="P27" s="3" t="s">
        <v>93</v>
      </c>
      <c r="Q27" s="3">
        <v>35.81724157</v>
      </c>
      <c r="R27" s="3">
        <v>138.55183640000001</v>
      </c>
    </row>
    <row r="28" spans="1:18">
      <c r="A28">
        <v>3</v>
      </c>
      <c r="B28" s="3" t="s">
        <v>87</v>
      </c>
      <c r="C28" s="3" t="s">
        <v>1</v>
      </c>
      <c r="D28" s="3" t="s">
        <v>88</v>
      </c>
      <c r="E28" s="3" t="s">
        <v>89</v>
      </c>
      <c r="F28" t="s">
        <v>49</v>
      </c>
      <c r="G28" t="s">
        <v>5</v>
      </c>
      <c r="H28" s="3" t="s">
        <v>89</v>
      </c>
      <c r="I28" s="3" t="s">
        <v>90</v>
      </c>
      <c r="J28" s="3">
        <v>1545</v>
      </c>
      <c r="K28" s="3">
        <v>2025</v>
      </c>
      <c r="L28" s="3" t="s">
        <v>91</v>
      </c>
      <c r="M28" s="3">
        <v>22</v>
      </c>
      <c r="N28" s="3" t="s">
        <v>22</v>
      </c>
      <c r="O28" s="3" t="s">
        <v>94</v>
      </c>
      <c r="P28" s="3" t="s">
        <v>93</v>
      </c>
      <c r="Q28" s="3">
        <v>35.81724157</v>
      </c>
      <c r="R28" s="3">
        <v>138.55183640000001</v>
      </c>
    </row>
    <row r="29" spans="1:18">
      <c r="A29">
        <v>4</v>
      </c>
      <c r="B29" s="3" t="s">
        <v>95</v>
      </c>
      <c r="C29" s="3" t="s">
        <v>1</v>
      </c>
      <c r="D29" s="3" t="s">
        <v>96</v>
      </c>
      <c r="E29" s="3" t="s">
        <v>97</v>
      </c>
      <c r="F29" t="s">
        <v>49</v>
      </c>
      <c r="G29" t="s">
        <v>5</v>
      </c>
      <c r="H29" s="3" t="s">
        <v>98</v>
      </c>
      <c r="I29" s="3" t="s">
        <v>90</v>
      </c>
      <c r="J29" s="3">
        <v>1319</v>
      </c>
      <c r="K29" s="3">
        <v>2025</v>
      </c>
      <c r="L29" s="3" t="s">
        <v>99</v>
      </c>
      <c r="M29" s="3">
        <v>9</v>
      </c>
      <c r="N29" s="3" t="s">
        <v>9</v>
      </c>
      <c r="O29" s="3" t="s">
        <v>92</v>
      </c>
      <c r="P29" s="3" t="s">
        <v>100</v>
      </c>
      <c r="Q29" s="3">
        <v>36.524523270000003</v>
      </c>
      <c r="R29" s="3">
        <v>138.34705650000001</v>
      </c>
    </row>
    <row r="30" spans="1:18">
      <c r="A30">
        <v>5</v>
      </c>
      <c r="B30" s="3" t="s">
        <v>101</v>
      </c>
      <c r="C30" s="3" t="s">
        <v>1</v>
      </c>
      <c r="D30" s="3" t="s">
        <v>96</v>
      </c>
      <c r="E30" s="3" t="s">
        <v>102</v>
      </c>
      <c r="F30" t="s">
        <v>49</v>
      </c>
      <c r="G30" t="s">
        <v>5</v>
      </c>
      <c r="H30" s="3" t="s">
        <v>103</v>
      </c>
      <c r="I30" s="3" t="s">
        <v>90</v>
      </c>
      <c r="J30" s="3">
        <v>1730</v>
      </c>
      <c r="K30" s="3">
        <v>2025</v>
      </c>
      <c r="L30" s="3" t="s">
        <v>99</v>
      </c>
      <c r="M30" s="3">
        <v>7</v>
      </c>
      <c r="N30" s="3" t="s">
        <v>9</v>
      </c>
      <c r="O30" s="3" t="s">
        <v>92</v>
      </c>
      <c r="P30" s="3" t="s">
        <v>104</v>
      </c>
      <c r="Q30" s="3">
        <v>36.427633280000002</v>
      </c>
      <c r="R30" s="3">
        <v>138.4196656</v>
      </c>
    </row>
    <row r="31" spans="1:18">
      <c r="A31">
        <v>6</v>
      </c>
      <c r="B31" s="3" t="s">
        <v>105</v>
      </c>
      <c r="C31" s="3" t="s">
        <v>1</v>
      </c>
      <c r="D31" s="3" t="s">
        <v>106</v>
      </c>
      <c r="E31" s="3" t="s">
        <v>107</v>
      </c>
      <c r="F31" t="s">
        <v>49</v>
      </c>
      <c r="G31" t="s">
        <v>5</v>
      </c>
      <c r="H31" s="3" t="s">
        <v>108</v>
      </c>
      <c r="I31" s="3" t="s">
        <v>90</v>
      </c>
      <c r="J31" s="3">
        <v>457</v>
      </c>
      <c r="K31" s="3">
        <v>2025</v>
      </c>
      <c r="L31" s="3" t="s">
        <v>109</v>
      </c>
      <c r="M31" s="3">
        <v>27</v>
      </c>
      <c r="N31" s="3" t="s">
        <v>9</v>
      </c>
      <c r="O31" s="3" t="s">
        <v>92</v>
      </c>
      <c r="P31" s="3" t="s">
        <v>110</v>
      </c>
      <c r="Q31" s="3">
        <v>35.629841880000001</v>
      </c>
      <c r="R31" s="3">
        <v>139.25134299999999</v>
      </c>
    </row>
    <row r="32" spans="1:18">
      <c r="A32">
        <v>7</v>
      </c>
      <c r="B32" s="3" t="s">
        <v>111</v>
      </c>
      <c r="C32" s="3" t="s">
        <v>1</v>
      </c>
      <c r="D32" s="3" t="s">
        <v>88</v>
      </c>
      <c r="E32" s="3" t="s">
        <v>112</v>
      </c>
      <c r="F32" t="s">
        <v>49</v>
      </c>
      <c r="G32" t="s">
        <v>5</v>
      </c>
      <c r="H32" s="3" t="s">
        <v>113</v>
      </c>
      <c r="I32" s="3" t="s">
        <v>90</v>
      </c>
      <c r="J32" s="3">
        <v>525</v>
      </c>
      <c r="K32" s="3">
        <v>2025</v>
      </c>
      <c r="L32" s="3" t="s">
        <v>91</v>
      </c>
      <c r="M32" s="3">
        <v>29</v>
      </c>
      <c r="N32" s="3" t="s">
        <v>9</v>
      </c>
      <c r="O32" s="3" t="s">
        <v>92</v>
      </c>
      <c r="P32" s="3" t="s">
        <v>114</v>
      </c>
      <c r="Q32" s="3">
        <v>35.688041890000001</v>
      </c>
      <c r="R32" s="3">
        <v>139.0334569</v>
      </c>
    </row>
    <row r="33" spans="1:18">
      <c r="A33">
        <v>8</v>
      </c>
      <c r="B33" s="3" t="s">
        <v>111</v>
      </c>
      <c r="C33" s="3" t="s">
        <v>1</v>
      </c>
      <c r="D33" s="3" t="s">
        <v>88</v>
      </c>
      <c r="E33" s="3" t="s">
        <v>112</v>
      </c>
      <c r="F33" t="s">
        <v>49</v>
      </c>
      <c r="G33" t="s">
        <v>5</v>
      </c>
      <c r="H33" s="3" t="s">
        <v>113</v>
      </c>
      <c r="I33" s="3" t="s">
        <v>90</v>
      </c>
      <c r="J33" s="3">
        <v>525</v>
      </c>
      <c r="K33" s="3">
        <v>2025</v>
      </c>
      <c r="L33" s="3" t="s">
        <v>91</v>
      </c>
      <c r="M33" s="3">
        <v>29</v>
      </c>
      <c r="N33" s="3" t="s">
        <v>9</v>
      </c>
      <c r="O33" s="3" t="s">
        <v>92</v>
      </c>
      <c r="P33" s="3" t="s">
        <v>114</v>
      </c>
      <c r="Q33" s="3">
        <v>35.688041890000001</v>
      </c>
      <c r="R33" s="3">
        <v>139.0334569</v>
      </c>
    </row>
    <row r="34" spans="1:18">
      <c r="A34">
        <v>9</v>
      </c>
      <c r="B34" s="3" t="s">
        <v>111</v>
      </c>
      <c r="C34" s="3" t="s">
        <v>1</v>
      </c>
      <c r="D34" s="3" t="s">
        <v>88</v>
      </c>
      <c r="E34" s="3" t="s">
        <v>112</v>
      </c>
      <c r="F34" t="s">
        <v>49</v>
      </c>
      <c r="G34" t="s">
        <v>5</v>
      </c>
      <c r="H34" s="3" t="s">
        <v>113</v>
      </c>
      <c r="I34" s="3" t="s">
        <v>90</v>
      </c>
      <c r="J34" s="3">
        <v>525</v>
      </c>
      <c r="K34" s="3">
        <v>2025</v>
      </c>
      <c r="L34" s="3" t="s">
        <v>91</v>
      </c>
      <c r="M34" s="3">
        <v>29</v>
      </c>
      <c r="N34" s="3" t="s">
        <v>9</v>
      </c>
      <c r="O34" s="3" t="s">
        <v>92</v>
      </c>
      <c r="P34" s="3" t="s">
        <v>114</v>
      </c>
      <c r="Q34" s="3">
        <v>35.688041890000001</v>
      </c>
      <c r="R34" s="3">
        <v>139.0334569</v>
      </c>
    </row>
    <row r="35" spans="1:18">
      <c r="A35">
        <v>10</v>
      </c>
      <c r="B35" s="3" t="s">
        <v>115</v>
      </c>
      <c r="C35" s="3" t="s">
        <v>1</v>
      </c>
      <c r="D35" s="3" t="s">
        <v>88</v>
      </c>
      <c r="E35" s="3" t="s">
        <v>116</v>
      </c>
      <c r="F35" t="s">
        <v>49</v>
      </c>
      <c r="G35" t="s">
        <v>5</v>
      </c>
      <c r="H35" s="3" t="s">
        <v>117</v>
      </c>
      <c r="I35" s="3" t="s">
        <v>90</v>
      </c>
      <c r="J35" s="3">
        <v>766</v>
      </c>
      <c r="K35" s="3">
        <v>2025</v>
      </c>
      <c r="L35" s="3" t="s">
        <v>91</v>
      </c>
      <c r="M35" s="3">
        <v>29</v>
      </c>
      <c r="N35" s="3" t="s">
        <v>9</v>
      </c>
      <c r="O35" s="3" t="s">
        <v>92</v>
      </c>
      <c r="P35" s="3" t="s">
        <v>118</v>
      </c>
      <c r="Q35" s="3">
        <v>35.643260239999996</v>
      </c>
      <c r="R35" s="3">
        <v>138.8068379</v>
      </c>
    </row>
    <row r="36" spans="1:18">
      <c r="A36">
        <v>11</v>
      </c>
      <c r="B36" s="3" t="s">
        <v>115</v>
      </c>
      <c r="C36" s="3" t="s">
        <v>1</v>
      </c>
      <c r="D36" s="3" t="s">
        <v>88</v>
      </c>
      <c r="E36" s="3" t="s">
        <v>116</v>
      </c>
      <c r="F36" t="s">
        <v>49</v>
      </c>
      <c r="G36" t="s">
        <v>5</v>
      </c>
      <c r="H36" s="3" t="s">
        <v>117</v>
      </c>
      <c r="I36" s="3" t="s">
        <v>90</v>
      </c>
      <c r="J36" s="3">
        <v>766</v>
      </c>
      <c r="K36" s="3">
        <v>2025</v>
      </c>
      <c r="L36" s="3" t="s">
        <v>91</v>
      </c>
      <c r="M36" s="3">
        <v>29</v>
      </c>
      <c r="N36" s="3" t="s">
        <v>9</v>
      </c>
      <c r="O36" s="3" t="s">
        <v>92</v>
      </c>
      <c r="P36" s="3" t="s">
        <v>118</v>
      </c>
      <c r="Q36" s="3">
        <v>35.643260239999996</v>
      </c>
      <c r="R36" s="3">
        <v>138.8068379</v>
      </c>
    </row>
    <row r="37" spans="1:18">
      <c r="A37">
        <v>12</v>
      </c>
      <c r="B37" s="3" t="s">
        <v>115</v>
      </c>
      <c r="C37" s="3" t="s">
        <v>1</v>
      </c>
      <c r="D37" s="3" t="s">
        <v>88</v>
      </c>
      <c r="E37" s="3" t="s">
        <v>116</v>
      </c>
      <c r="F37" t="s">
        <v>49</v>
      </c>
      <c r="G37" t="s">
        <v>5</v>
      </c>
      <c r="H37" s="3" t="s">
        <v>117</v>
      </c>
      <c r="I37" s="3" t="s">
        <v>90</v>
      </c>
      <c r="J37" s="3">
        <v>766</v>
      </c>
      <c r="K37" s="3">
        <v>2025</v>
      </c>
      <c r="L37" s="3" t="s">
        <v>91</v>
      </c>
      <c r="M37" s="3">
        <v>29</v>
      </c>
      <c r="N37" s="3" t="s">
        <v>9</v>
      </c>
      <c r="O37" s="3" t="s">
        <v>92</v>
      </c>
      <c r="P37" s="3" t="s">
        <v>118</v>
      </c>
      <c r="Q37" s="3">
        <v>35.643260239999996</v>
      </c>
      <c r="R37" s="3">
        <v>138.8068379</v>
      </c>
    </row>
    <row r="38" spans="1:18">
      <c r="A38">
        <v>13</v>
      </c>
      <c r="B38" s="3" t="s">
        <v>115</v>
      </c>
      <c r="C38" s="3" t="s">
        <v>1</v>
      </c>
      <c r="D38" s="3" t="s">
        <v>88</v>
      </c>
      <c r="E38" s="3" t="s">
        <v>116</v>
      </c>
      <c r="F38" t="s">
        <v>49</v>
      </c>
      <c r="G38" t="s">
        <v>5</v>
      </c>
      <c r="H38" s="3" t="s">
        <v>117</v>
      </c>
      <c r="I38" s="3" t="s">
        <v>90</v>
      </c>
      <c r="J38" s="3">
        <v>766</v>
      </c>
      <c r="K38" s="3">
        <v>2025</v>
      </c>
      <c r="L38" s="3" t="s">
        <v>91</v>
      </c>
      <c r="M38" s="3">
        <v>29</v>
      </c>
      <c r="N38" s="3" t="s">
        <v>9</v>
      </c>
      <c r="O38" s="3" t="s">
        <v>92</v>
      </c>
      <c r="P38" s="3" t="s">
        <v>118</v>
      </c>
      <c r="Q38" s="3">
        <v>35.643260239999996</v>
      </c>
      <c r="R38" s="3">
        <v>138.8068379</v>
      </c>
    </row>
    <row r="39" spans="1:18">
      <c r="A39">
        <v>14</v>
      </c>
      <c r="B39" s="3" t="s">
        <v>119</v>
      </c>
      <c r="C39" s="3" t="s">
        <v>1</v>
      </c>
      <c r="D39" s="3" t="s">
        <v>120</v>
      </c>
      <c r="E39" s="3" t="s">
        <v>121</v>
      </c>
      <c r="F39" s="3" t="s">
        <v>122</v>
      </c>
      <c r="G39" s="3" t="s">
        <v>123</v>
      </c>
      <c r="H39" s="3" t="s">
        <v>121</v>
      </c>
      <c r="I39" s="3" t="s">
        <v>90</v>
      </c>
      <c r="J39" s="3">
        <v>135</v>
      </c>
      <c r="K39" s="3">
        <v>2025</v>
      </c>
      <c r="L39" s="3" t="s">
        <v>124</v>
      </c>
      <c r="M39" s="3">
        <v>9</v>
      </c>
      <c r="N39" s="3" t="s">
        <v>22</v>
      </c>
      <c r="O39" s="3" t="s">
        <v>92</v>
      </c>
      <c r="P39" s="3" t="s">
        <v>125</v>
      </c>
      <c r="Q39" s="3">
        <v>24.44159247</v>
      </c>
      <c r="R39" s="3">
        <v>124.09681999999999</v>
      </c>
    </row>
    <row r="40" spans="1:18">
      <c r="A40">
        <v>15</v>
      </c>
      <c r="B40" s="3" t="s">
        <v>126</v>
      </c>
      <c r="C40" s="3" t="s">
        <v>1</v>
      </c>
      <c r="D40" s="3" t="s">
        <v>120</v>
      </c>
      <c r="E40" s="3" t="s">
        <v>121</v>
      </c>
      <c r="F40" s="3" t="s">
        <v>122</v>
      </c>
      <c r="G40" s="3" t="s">
        <v>123</v>
      </c>
      <c r="H40" s="3" t="s">
        <v>121</v>
      </c>
      <c r="I40" s="3" t="s">
        <v>90</v>
      </c>
      <c r="J40" s="3">
        <v>135</v>
      </c>
      <c r="K40" s="3">
        <v>2025</v>
      </c>
      <c r="L40" s="3" t="s">
        <v>124</v>
      </c>
      <c r="M40" s="3">
        <v>9</v>
      </c>
      <c r="N40" s="3" t="s">
        <v>22</v>
      </c>
      <c r="O40" s="3" t="s">
        <v>92</v>
      </c>
      <c r="P40" s="3" t="s">
        <v>125</v>
      </c>
      <c r="Q40" s="3">
        <v>24.44159247</v>
      </c>
      <c r="R40" s="3">
        <v>124.09681999999999</v>
      </c>
    </row>
    <row r="41" spans="1:18">
      <c r="A41">
        <v>16</v>
      </c>
      <c r="B41" s="3" t="s">
        <v>127</v>
      </c>
      <c r="C41" s="3" t="s">
        <v>1</v>
      </c>
      <c r="D41" s="3" t="s">
        <v>120</v>
      </c>
      <c r="E41" s="3" t="s">
        <v>128</v>
      </c>
      <c r="F41" s="3" t="s">
        <v>122</v>
      </c>
      <c r="G41" s="3" t="s">
        <v>123</v>
      </c>
      <c r="H41" s="3" t="s">
        <v>121</v>
      </c>
      <c r="I41" s="3" t="s">
        <v>90</v>
      </c>
      <c r="J41" s="3">
        <v>5</v>
      </c>
      <c r="K41" s="3">
        <v>2025</v>
      </c>
      <c r="L41" s="3" t="s">
        <v>124</v>
      </c>
      <c r="M41" s="3">
        <v>8</v>
      </c>
      <c r="N41" s="3" t="s">
        <v>9</v>
      </c>
      <c r="O41" s="3" t="s">
        <v>129</v>
      </c>
      <c r="P41" s="3" t="s">
        <v>130</v>
      </c>
      <c r="Q41" s="3">
        <v>24.330674609999999</v>
      </c>
      <c r="R41" s="3">
        <v>124.1570924</v>
      </c>
    </row>
    <row r="42" spans="1:18">
      <c r="A42">
        <v>17</v>
      </c>
      <c r="B42" s="3" t="s">
        <v>126</v>
      </c>
      <c r="C42" s="3" t="s">
        <v>1</v>
      </c>
      <c r="D42" s="3" t="s">
        <v>120</v>
      </c>
      <c r="E42" s="3" t="s">
        <v>121</v>
      </c>
      <c r="F42" s="3" t="s">
        <v>122</v>
      </c>
      <c r="G42" s="3" t="s">
        <v>123</v>
      </c>
      <c r="H42" s="3" t="s">
        <v>121</v>
      </c>
      <c r="I42" s="3" t="s">
        <v>90</v>
      </c>
      <c r="J42" s="3">
        <v>26</v>
      </c>
      <c r="K42" s="3">
        <v>2025</v>
      </c>
      <c r="L42" s="3" t="s">
        <v>124</v>
      </c>
      <c r="M42" s="3">
        <v>8</v>
      </c>
      <c r="N42" s="3" t="s">
        <v>9</v>
      </c>
      <c r="O42" s="3" t="s">
        <v>129</v>
      </c>
      <c r="P42" s="3" t="s">
        <v>131</v>
      </c>
      <c r="Q42" s="3">
        <v>24.444570039999999</v>
      </c>
      <c r="R42" s="3">
        <v>124.0806358</v>
      </c>
    </row>
    <row r="43" spans="1:18">
      <c r="A43">
        <v>18</v>
      </c>
      <c r="B43" s="3" t="s">
        <v>132</v>
      </c>
      <c r="C43" s="3" t="s">
        <v>1</v>
      </c>
      <c r="D43" s="3" t="s">
        <v>120</v>
      </c>
      <c r="E43" s="3" t="s">
        <v>121</v>
      </c>
      <c r="F43" s="3" t="s">
        <v>122</v>
      </c>
      <c r="G43" s="3" t="s">
        <v>123</v>
      </c>
      <c r="H43" s="3" t="s">
        <v>121</v>
      </c>
      <c r="I43" s="3" t="s">
        <v>90</v>
      </c>
      <c r="J43" s="3">
        <v>65</v>
      </c>
      <c r="K43" s="3">
        <v>2025</v>
      </c>
      <c r="L43" s="3" t="s">
        <v>124</v>
      </c>
      <c r="M43" s="3">
        <v>9</v>
      </c>
      <c r="N43" s="3" t="s">
        <v>9</v>
      </c>
      <c r="O43" s="3" t="s">
        <v>92</v>
      </c>
      <c r="P43" s="3" t="s">
        <v>133</v>
      </c>
      <c r="Q43" s="3">
        <v>24.433148930000002</v>
      </c>
      <c r="R43" s="3">
        <v>124.2107579</v>
      </c>
    </row>
    <row r="44" spans="1:18">
      <c r="A44">
        <v>19</v>
      </c>
      <c r="B44" s="3" t="s">
        <v>134</v>
      </c>
      <c r="C44" s="3" t="s">
        <v>1</v>
      </c>
      <c r="D44" s="3" t="s">
        <v>120</v>
      </c>
      <c r="E44" s="3" t="s">
        <v>121</v>
      </c>
      <c r="F44" s="3" t="s">
        <v>122</v>
      </c>
      <c r="G44" s="3" t="s">
        <v>123</v>
      </c>
      <c r="H44" s="3" t="s">
        <v>121</v>
      </c>
      <c r="I44" s="3" t="s">
        <v>90</v>
      </c>
      <c r="J44" s="3">
        <v>60</v>
      </c>
      <c r="K44" s="3">
        <v>2025</v>
      </c>
      <c r="L44" s="3" t="s">
        <v>124</v>
      </c>
      <c r="M44" s="3">
        <v>8</v>
      </c>
      <c r="N44" s="3" t="s">
        <v>9</v>
      </c>
      <c r="O44" s="3" t="s">
        <v>92</v>
      </c>
      <c r="P44" s="3" t="s">
        <v>135</v>
      </c>
      <c r="Q44" s="3">
        <v>24.476988540000001</v>
      </c>
      <c r="R44" s="3">
        <v>124.2305727</v>
      </c>
    </row>
    <row r="45" spans="1:18">
      <c r="A45">
        <v>20</v>
      </c>
      <c r="B45" s="3" t="s">
        <v>136</v>
      </c>
      <c r="C45" s="3" t="s">
        <v>1</v>
      </c>
      <c r="D45" s="3" t="s">
        <v>120</v>
      </c>
      <c r="E45" s="3" t="s">
        <v>121</v>
      </c>
      <c r="F45" s="3" t="s">
        <v>122</v>
      </c>
      <c r="G45" s="3" t="s">
        <v>123</v>
      </c>
      <c r="H45" s="3" t="s">
        <v>121</v>
      </c>
      <c r="I45" s="3" t="s">
        <v>90</v>
      </c>
      <c r="J45" s="3">
        <v>40</v>
      </c>
      <c r="K45" s="3">
        <v>2025</v>
      </c>
      <c r="L45" s="3" t="s">
        <v>124</v>
      </c>
      <c r="M45" s="3">
        <v>8</v>
      </c>
      <c r="N45" s="3" t="s">
        <v>9</v>
      </c>
      <c r="O45" s="3" t="s">
        <v>129</v>
      </c>
      <c r="P45" s="3" t="s">
        <v>137</v>
      </c>
      <c r="Q45" s="3">
        <v>24.40942892</v>
      </c>
      <c r="R45" s="3">
        <v>124.24106399999999</v>
      </c>
    </row>
    <row r="46" spans="1:18">
      <c r="A46">
        <v>21</v>
      </c>
      <c r="B46" s="3" t="s">
        <v>119</v>
      </c>
      <c r="C46" s="3" t="s">
        <v>1</v>
      </c>
      <c r="D46" s="3" t="s">
        <v>120</v>
      </c>
      <c r="E46" s="3" t="s">
        <v>121</v>
      </c>
      <c r="F46" s="3" t="s">
        <v>122</v>
      </c>
      <c r="G46" s="3" t="s">
        <v>123</v>
      </c>
      <c r="H46" s="3" t="s">
        <v>121</v>
      </c>
      <c r="I46" s="3" t="s">
        <v>90</v>
      </c>
      <c r="J46" s="3">
        <v>35</v>
      </c>
      <c r="K46" s="3">
        <v>2025</v>
      </c>
      <c r="L46" s="3" t="s">
        <v>124</v>
      </c>
      <c r="M46" s="3">
        <v>7</v>
      </c>
      <c r="N46" s="3" t="s">
        <v>22</v>
      </c>
      <c r="O46" s="3" t="s">
        <v>92</v>
      </c>
      <c r="P46" s="3" t="s">
        <v>138</v>
      </c>
      <c r="Q46" s="3">
        <v>24.4457779</v>
      </c>
      <c r="R46" s="3">
        <v>124.0814494</v>
      </c>
    </row>
    <row r="47" spans="1:18">
      <c r="A47">
        <v>22</v>
      </c>
      <c r="B47" s="3" t="s">
        <v>119</v>
      </c>
      <c r="C47" s="3" t="s">
        <v>1</v>
      </c>
      <c r="D47" s="3" t="s">
        <v>120</v>
      </c>
      <c r="E47" s="3" t="s">
        <v>121</v>
      </c>
      <c r="F47" s="3" t="s">
        <v>122</v>
      </c>
      <c r="G47" s="3" t="s">
        <v>123</v>
      </c>
      <c r="H47" s="3" t="s">
        <v>121</v>
      </c>
      <c r="I47" s="3" t="s">
        <v>90</v>
      </c>
      <c r="J47" s="3">
        <v>135</v>
      </c>
      <c r="K47" s="3">
        <v>2025</v>
      </c>
      <c r="L47" s="3" t="s">
        <v>124</v>
      </c>
      <c r="M47" s="3">
        <v>8</v>
      </c>
      <c r="N47" s="3" t="s">
        <v>9</v>
      </c>
      <c r="O47" s="3" t="s">
        <v>92</v>
      </c>
      <c r="P47" s="3" t="s">
        <v>139</v>
      </c>
      <c r="Q47" s="3">
        <v>24.44159247</v>
      </c>
      <c r="R47" s="3">
        <v>124.09681999999999</v>
      </c>
    </row>
    <row r="48" spans="1:18">
      <c r="A48">
        <v>23</v>
      </c>
      <c r="B48" s="3" t="s">
        <v>140</v>
      </c>
      <c r="C48" s="3" t="s">
        <v>1</v>
      </c>
      <c r="D48" s="3" t="s">
        <v>120</v>
      </c>
      <c r="E48" s="3" t="s">
        <v>141</v>
      </c>
      <c r="F48" s="3" t="s">
        <v>122</v>
      </c>
      <c r="G48" s="3" t="s">
        <v>123</v>
      </c>
      <c r="H48" s="3" t="s">
        <v>121</v>
      </c>
      <c r="I48" s="3" t="s">
        <v>90</v>
      </c>
      <c r="J48" s="3">
        <v>5</v>
      </c>
      <c r="K48" s="3">
        <v>2025</v>
      </c>
      <c r="L48" s="3" t="s">
        <v>124</v>
      </c>
      <c r="M48" s="3">
        <v>8</v>
      </c>
      <c r="N48" s="3" t="s">
        <v>9</v>
      </c>
      <c r="O48" s="3" t="s">
        <v>92</v>
      </c>
      <c r="P48" s="3" t="s">
        <v>142</v>
      </c>
      <c r="Q48" s="3">
        <v>24.433408329999999</v>
      </c>
      <c r="R48" s="3">
        <v>124.1024379</v>
      </c>
    </row>
    <row r="49" spans="1:18">
      <c r="A49">
        <v>24</v>
      </c>
      <c r="B49" s="3" t="s">
        <v>143</v>
      </c>
      <c r="C49" s="3" t="s">
        <v>1</v>
      </c>
      <c r="D49" s="3" t="s">
        <v>120</v>
      </c>
      <c r="E49" s="3" t="s">
        <v>121</v>
      </c>
      <c r="F49" s="3" t="s">
        <v>122</v>
      </c>
      <c r="G49" s="3" t="s">
        <v>123</v>
      </c>
      <c r="H49" s="3" t="s">
        <v>121</v>
      </c>
      <c r="I49" s="3" t="s">
        <v>90</v>
      </c>
      <c r="J49" s="3">
        <v>51</v>
      </c>
      <c r="K49" s="3">
        <v>2025</v>
      </c>
      <c r="L49" s="3" t="s">
        <v>124</v>
      </c>
      <c r="M49" s="3">
        <v>7</v>
      </c>
      <c r="N49" s="3" t="s">
        <v>22</v>
      </c>
      <c r="O49" s="3" t="s">
        <v>92</v>
      </c>
      <c r="P49" s="3" t="s">
        <v>144</v>
      </c>
      <c r="Q49" s="3">
        <v>24.477355070000002</v>
      </c>
      <c r="R49" s="3">
        <v>124.2304046</v>
      </c>
    </row>
    <row r="50" spans="1:18">
      <c r="A50">
        <v>25</v>
      </c>
      <c r="B50" s="3" t="s">
        <v>145</v>
      </c>
      <c r="C50" s="3" t="s">
        <v>146</v>
      </c>
      <c r="D50" s="3" t="s">
        <v>13</v>
      </c>
      <c r="E50" t="s">
        <v>147</v>
      </c>
      <c r="F50" s="3" t="s">
        <v>33</v>
      </c>
      <c r="G50" s="3" t="s">
        <v>5</v>
      </c>
      <c r="H50" s="3" t="s">
        <v>148</v>
      </c>
      <c r="I50" s="3" t="s">
        <v>149</v>
      </c>
      <c r="J50" s="3">
        <v>16</v>
      </c>
      <c r="K50" s="3">
        <v>2024</v>
      </c>
      <c r="L50" s="3" t="s">
        <v>150</v>
      </c>
      <c r="M50" s="3">
        <v>30</v>
      </c>
      <c r="N50" s="3"/>
      <c r="O50" s="3" t="s">
        <v>151</v>
      </c>
      <c r="P50" s="3" t="s">
        <v>152</v>
      </c>
      <c r="Q50" s="3">
        <v>32.807662559999997</v>
      </c>
      <c r="R50" s="3">
        <v>132.7684941</v>
      </c>
    </row>
    <row r="51" spans="1:18">
      <c r="B51" s="3" t="s">
        <v>145</v>
      </c>
      <c r="C51" s="3" t="s">
        <v>146</v>
      </c>
      <c r="D51" s="3" t="s">
        <v>13</v>
      </c>
      <c r="E51" t="s">
        <v>153</v>
      </c>
      <c r="F51" s="3" t="s">
        <v>33</v>
      </c>
      <c r="G51" s="3" t="s">
        <v>5</v>
      </c>
      <c r="H51" s="3" t="s">
        <v>148</v>
      </c>
      <c r="I51" s="3" t="s">
        <v>149</v>
      </c>
      <c r="J51" s="3">
        <v>16</v>
      </c>
      <c r="K51" s="3">
        <v>2024</v>
      </c>
      <c r="L51" s="3" t="s">
        <v>150</v>
      </c>
      <c r="M51" s="3">
        <v>30</v>
      </c>
      <c r="N51" s="3"/>
      <c r="O51" s="3" t="s">
        <v>151</v>
      </c>
      <c r="P51" s="3" t="s">
        <v>152</v>
      </c>
      <c r="Q51" s="3">
        <v>32.788057369999997</v>
      </c>
      <c r="R51" s="3">
        <v>132.7850147</v>
      </c>
    </row>
    <row r="52" spans="1:18">
      <c r="B52" s="3" t="s">
        <v>145</v>
      </c>
      <c r="C52" s="3" t="s">
        <v>146</v>
      </c>
      <c r="D52" s="3" t="s">
        <v>13</v>
      </c>
      <c r="E52" t="s">
        <v>153</v>
      </c>
      <c r="F52" s="3" t="s">
        <v>33</v>
      </c>
      <c r="G52" s="3" t="s">
        <v>5</v>
      </c>
      <c r="H52" s="3" t="s">
        <v>148</v>
      </c>
      <c r="I52" s="3" t="s">
        <v>149</v>
      </c>
      <c r="J52" s="3">
        <v>16</v>
      </c>
      <c r="K52" s="3">
        <v>2024</v>
      </c>
      <c r="L52" s="3" t="s">
        <v>150</v>
      </c>
      <c r="M52" s="3">
        <v>30</v>
      </c>
      <c r="N52" s="3"/>
      <c r="O52" s="3" t="s">
        <v>151</v>
      </c>
      <c r="P52" s="3" t="s">
        <v>152</v>
      </c>
      <c r="Q52" s="3">
        <v>32.775311680000002</v>
      </c>
      <c r="R52" s="3">
        <v>132.80367319999999</v>
      </c>
    </row>
    <row r="53" spans="1:18">
      <c r="B53" s="3" t="s">
        <v>145</v>
      </c>
      <c r="C53" s="3" t="s">
        <v>146</v>
      </c>
      <c r="D53" s="3" t="s">
        <v>13</v>
      </c>
      <c r="E53" s="4" t="s">
        <v>154</v>
      </c>
      <c r="F53" s="3" t="s">
        <v>33</v>
      </c>
      <c r="G53" s="3" t="s">
        <v>5</v>
      </c>
      <c r="H53" s="3" t="s">
        <v>148</v>
      </c>
      <c r="I53" s="3" t="s">
        <v>149</v>
      </c>
      <c r="J53" s="3">
        <v>16</v>
      </c>
      <c r="K53" s="3">
        <v>2024</v>
      </c>
      <c r="L53" s="3" t="s">
        <v>150</v>
      </c>
      <c r="M53" s="3">
        <v>30</v>
      </c>
      <c r="N53" s="3"/>
      <c r="O53" s="3" t="s">
        <v>151</v>
      </c>
      <c r="P53" s="3" t="s">
        <v>152</v>
      </c>
      <c r="Q53" s="3">
        <v>32.823213199999998</v>
      </c>
      <c r="R53" s="3">
        <v>132.85195189999999</v>
      </c>
    </row>
    <row r="54" spans="1:18">
      <c r="B54" s="3" t="s">
        <v>145</v>
      </c>
      <c r="C54" s="3" t="s">
        <v>146</v>
      </c>
      <c r="D54" s="3" t="s">
        <v>13</v>
      </c>
      <c r="E54" t="s">
        <v>147</v>
      </c>
      <c r="F54" s="3" t="s">
        <v>33</v>
      </c>
      <c r="G54" s="3" t="s">
        <v>5</v>
      </c>
      <c r="H54" s="3" t="s">
        <v>148</v>
      </c>
      <c r="I54" s="3" t="s">
        <v>149</v>
      </c>
      <c r="J54" s="3">
        <v>16</v>
      </c>
      <c r="K54" s="3">
        <v>2024</v>
      </c>
      <c r="L54" s="3" t="s">
        <v>155</v>
      </c>
      <c r="M54" s="3">
        <v>13</v>
      </c>
      <c r="N54" s="3"/>
      <c r="O54" s="3" t="s">
        <v>151</v>
      </c>
      <c r="P54" s="3" t="s">
        <v>152</v>
      </c>
      <c r="Q54" s="3">
        <v>32.806527639999999</v>
      </c>
      <c r="R54" s="3">
        <v>132.86484830000001</v>
      </c>
    </row>
    <row r="55" spans="1:18">
      <c r="B55" s="3" t="s">
        <v>145</v>
      </c>
      <c r="C55" s="3" t="s">
        <v>146</v>
      </c>
      <c r="D55" s="3" t="s">
        <v>13</v>
      </c>
      <c r="E55" t="s">
        <v>153</v>
      </c>
      <c r="F55" s="3" t="s">
        <v>33</v>
      </c>
      <c r="G55" s="3" t="s">
        <v>5</v>
      </c>
      <c r="H55" s="3" t="s">
        <v>148</v>
      </c>
      <c r="I55" s="3" t="s">
        <v>149</v>
      </c>
      <c r="J55" s="3">
        <v>16</v>
      </c>
      <c r="K55" s="3">
        <v>2024</v>
      </c>
      <c r="L55" s="3" t="s">
        <v>155</v>
      </c>
      <c r="M55" s="3">
        <v>13</v>
      </c>
      <c r="N55" s="3"/>
      <c r="O55" s="3" t="s">
        <v>151</v>
      </c>
      <c r="P55" s="3" t="s">
        <v>152</v>
      </c>
      <c r="Q55" s="3">
        <v>32.812291330000001</v>
      </c>
      <c r="R55" s="3">
        <v>132.92686420000001</v>
      </c>
    </row>
    <row r="56" spans="1:18">
      <c r="B56" s="3" t="s">
        <v>145</v>
      </c>
      <c r="C56" s="3" t="s">
        <v>146</v>
      </c>
      <c r="D56" s="3" t="s">
        <v>13</v>
      </c>
      <c r="E56" t="s">
        <v>153</v>
      </c>
      <c r="F56" s="3" t="s">
        <v>33</v>
      </c>
      <c r="G56" s="3" t="s">
        <v>5</v>
      </c>
      <c r="H56" s="3" t="s">
        <v>148</v>
      </c>
      <c r="I56" s="3" t="s">
        <v>149</v>
      </c>
      <c r="J56" s="3">
        <v>16</v>
      </c>
      <c r="K56" s="3">
        <v>2024</v>
      </c>
      <c r="L56" s="3" t="s">
        <v>155</v>
      </c>
      <c r="M56" s="3">
        <v>13</v>
      </c>
      <c r="N56" s="3"/>
      <c r="O56" s="3" t="s">
        <v>151</v>
      </c>
      <c r="P56" s="3" t="s">
        <v>152</v>
      </c>
      <c r="Q56" s="3">
        <v>32.799647520000001</v>
      </c>
      <c r="R56" s="3">
        <v>132.9347526</v>
      </c>
    </row>
    <row r="57" spans="1:18">
      <c r="B57" s="3" t="s">
        <v>145</v>
      </c>
      <c r="C57" s="3" t="s">
        <v>146</v>
      </c>
      <c r="D57" s="3" t="s">
        <v>13</v>
      </c>
      <c r="E57" t="s">
        <v>156</v>
      </c>
      <c r="F57" s="3" t="s">
        <v>33</v>
      </c>
      <c r="G57" s="3" t="s">
        <v>5</v>
      </c>
      <c r="H57" s="3" t="s">
        <v>148</v>
      </c>
      <c r="I57" s="3" t="s">
        <v>149</v>
      </c>
      <c r="J57" s="3">
        <v>16</v>
      </c>
      <c r="K57" s="3">
        <v>2024</v>
      </c>
      <c r="L57" s="3" t="s">
        <v>157</v>
      </c>
      <c r="M57" s="3">
        <v>26</v>
      </c>
      <c r="N57" s="3"/>
      <c r="O57" s="3" t="s">
        <v>151</v>
      </c>
      <c r="P57" s="3" t="s">
        <v>152</v>
      </c>
      <c r="Q57" s="3">
        <v>32.747648480000002</v>
      </c>
      <c r="R57" s="3">
        <v>132.9954443</v>
      </c>
    </row>
    <row r="58" spans="1:18">
      <c r="B58" s="3" t="s">
        <v>145</v>
      </c>
      <c r="C58" s="3" t="s">
        <v>146</v>
      </c>
      <c r="D58" s="3" t="s">
        <v>13</v>
      </c>
      <c r="E58" t="s">
        <v>158</v>
      </c>
      <c r="F58" s="3" t="s">
        <v>33</v>
      </c>
      <c r="G58" s="3" t="s">
        <v>5</v>
      </c>
      <c r="H58" s="3" t="s">
        <v>148</v>
      </c>
      <c r="I58" s="3" t="s">
        <v>149</v>
      </c>
      <c r="J58" s="3">
        <v>16</v>
      </c>
      <c r="K58" s="3">
        <v>2024</v>
      </c>
      <c r="L58" s="3" t="s">
        <v>157</v>
      </c>
      <c r="M58" s="3">
        <v>26</v>
      </c>
      <c r="N58" s="3"/>
      <c r="O58" s="3" t="s">
        <v>151</v>
      </c>
      <c r="P58" s="3" t="s">
        <v>152</v>
      </c>
      <c r="Q58" s="3">
        <v>32.727047910000003</v>
      </c>
      <c r="R58" s="3">
        <v>133.01515549999999</v>
      </c>
    </row>
    <row r="59" spans="1:18">
      <c r="B59" s="3" t="s">
        <v>145</v>
      </c>
      <c r="C59" s="3" t="s">
        <v>146</v>
      </c>
      <c r="D59" s="3" t="s">
        <v>13</v>
      </c>
      <c r="E59" s="3" t="s">
        <v>159</v>
      </c>
      <c r="F59" s="3" t="s">
        <v>33</v>
      </c>
      <c r="G59" s="3" t="s">
        <v>5</v>
      </c>
      <c r="H59" s="3" t="s">
        <v>148</v>
      </c>
      <c r="I59" s="3" t="s">
        <v>149</v>
      </c>
      <c r="J59" s="3">
        <v>16</v>
      </c>
      <c r="K59" s="3">
        <v>2024</v>
      </c>
      <c r="L59" s="3" t="s">
        <v>157</v>
      </c>
      <c r="M59" s="3">
        <v>26</v>
      </c>
      <c r="N59" s="3"/>
      <c r="O59" s="3" t="s">
        <v>151</v>
      </c>
      <c r="P59" s="3" t="s">
        <v>152</v>
      </c>
      <c r="Q59" s="3">
        <v>32.840494710000002</v>
      </c>
      <c r="R59" s="3">
        <v>132.87074279999999</v>
      </c>
    </row>
    <row r="60" spans="1:18">
      <c r="B60" s="3" t="s">
        <v>145</v>
      </c>
      <c r="C60" s="3" t="s">
        <v>146</v>
      </c>
      <c r="D60" s="3" t="s">
        <v>13</v>
      </c>
      <c r="E60" t="s">
        <v>160</v>
      </c>
      <c r="F60" s="3" t="s">
        <v>33</v>
      </c>
      <c r="G60" s="3" t="s">
        <v>5</v>
      </c>
      <c r="H60" s="3" t="s">
        <v>148</v>
      </c>
      <c r="I60" s="3" t="s">
        <v>149</v>
      </c>
      <c r="J60" s="3">
        <v>16</v>
      </c>
      <c r="K60" s="3">
        <v>2025</v>
      </c>
      <c r="L60" s="3" t="s">
        <v>150</v>
      </c>
      <c r="M60" s="3">
        <v>22</v>
      </c>
      <c r="N60" s="3"/>
      <c r="O60" s="3" t="s">
        <v>151</v>
      </c>
      <c r="P60" s="3" t="s">
        <v>152</v>
      </c>
      <c r="Q60" s="3">
        <v>32.831006070000001</v>
      </c>
      <c r="R60" s="3">
        <v>132.87489120000001</v>
      </c>
    </row>
    <row r="61" spans="1:18">
      <c r="B61" s="3" t="s">
        <v>145</v>
      </c>
      <c r="C61" s="3" t="s">
        <v>146</v>
      </c>
      <c r="D61" s="3" t="s">
        <v>13</v>
      </c>
      <c r="E61" t="s">
        <v>147</v>
      </c>
      <c r="F61" s="3" t="s">
        <v>33</v>
      </c>
      <c r="G61" s="3" t="s">
        <v>5</v>
      </c>
      <c r="H61" s="3" t="s">
        <v>148</v>
      </c>
      <c r="I61" s="3" t="s">
        <v>149</v>
      </c>
      <c r="J61" s="3">
        <v>16</v>
      </c>
      <c r="K61" s="3">
        <v>2025</v>
      </c>
      <c r="L61" s="3" t="s">
        <v>150</v>
      </c>
      <c r="M61" s="3">
        <v>22</v>
      </c>
      <c r="N61" s="3"/>
      <c r="O61" s="3" t="s">
        <v>151</v>
      </c>
      <c r="P61" s="3" t="s">
        <v>152</v>
      </c>
      <c r="Q61" s="3">
        <v>32.906298790000001</v>
      </c>
      <c r="R61" s="3">
        <v>133.00529969999999</v>
      </c>
    </row>
    <row r="62" spans="1:18">
      <c r="B62" s="3" t="s">
        <v>145</v>
      </c>
      <c r="C62" s="3" t="s">
        <v>146</v>
      </c>
      <c r="D62" s="3" t="s">
        <v>13</v>
      </c>
      <c r="E62" t="s">
        <v>156</v>
      </c>
      <c r="F62" s="3" t="s">
        <v>33</v>
      </c>
      <c r="G62" s="3" t="s">
        <v>5</v>
      </c>
      <c r="H62" s="3" t="s">
        <v>148</v>
      </c>
      <c r="I62" s="3" t="s">
        <v>149</v>
      </c>
      <c r="J62" s="3">
        <v>16</v>
      </c>
      <c r="K62" s="3">
        <v>2025</v>
      </c>
      <c r="L62" s="3" t="s">
        <v>157</v>
      </c>
      <c r="M62" s="3">
        <v>30</v>
      </c>
      <c r="N62" s="3"/>
      <c r="O62" s="3" t="s">
        <v>151</v>
      </c>
      <c r="P62" s="3" t="s">
        <v>152</v>
      </c>
      <c r="Q62" s="3">
        <v>32.877232730000003</v>
      </c>
      <c r="R62" s="3">
        <v>133.00021860000001</v>
      </c>
    </row>
    <row r="63" spans="1:18">
      <c r="B63" s="3" t="s">
        <v>145</v>
      </c>
      <c r="C63" s="3" t="s">
        <v>146</v>
      </c>
      <c r="D63" s="3" t="s">
        <v>13</v>
      </c>
      <c r="E63" t="s">
        <v>147</v>
      </c>
      <c r="F63" s="3" t="s">
        <v>33</v>
      </c>
      <c r="G63" s="3" t="s">
        <v>5</v>
      </c>
      <c r="H63" s="3" t="s">
        <v>148</v>
      </c>
      <c r="I63" s="3" t="s">
        <v>149</v>
      </c>
      <c r="J63" s="3">
        <v>16</v>
      </c>
      <c r="K63" s="3">
        <v>2025</v>
      </c>
      <c r="L63" s="3" t="s">
        <v>157</v>
      </c>
      <c r="M63" s="3">
        <v>30</v>
      </c>
      <c r="N63" s="3"/>
      <c r="O63" s="3" t="s">
        <v>151</v>
      </c>
      <c r="P63" s="3" t="s">
        <v>152</v>
      </c>
      <c r="Q63" s="3">
        <v>32.925493160000002</v>
      </c>
      <c r="R63" s="3">
        <v>132.9198739</v>
      </c>
    </row>
    <row r="64" spans="1:18">
      <c r="B64" s="3" t="s">
        <v>145</v>
      </c>
      <c r="C64" s="3" t="s">
        <v>146</v>
      </c>
      <c r="D64" s="3" t="s">
        <v>13</v>
      </c>
      <c r="E64" t="s">
        <v>161</v>
      </c>
      <c r="F64" s="3" t="s">
        <v>33</v>
      </c>
      <c r="G64" s="3" t="s">
        <v>5</v>
      </c>
      <c r="H64" s="3" t="s">
        <v>148</v>
      </c>
      <c r="I64" s="3" t="s">
        <v>149</v>
      </c>
      <c r="J64" s="3">
        <v>16</v>
      </c>
      <c r="K64" s="3">
        <v>2025</v>
      </c>
      <c r="L64" s="3" t="s">
        <v>157</v>
      </c>
      <c r="M64" s="3">
        <v>30</v>
      </c>
      <c r="N64" s="3"/>
      <c r="O64" s="3" t="s">
        <v>151</v>
      </c>
      <c r="P64" s="3" t="s">
        <v>152</v>
      </c>
      <c r="Q64" s="3">
        <v>32.912164179999998</v>
      </c>
      <c r="R64" s="3">
        <v>132.92749549999999</v>
      </c>
    </row>
    <row r="65" spans="2:18">
      <c r="B65" s="3" t="s">
        <v>145</v>
      </c>
      <c r="C65" s="3" t="s">
        <v>146</v>
      </c>
      <c r="D65" s="3" t="s">
        <v>13</v>
      </c>
      <c r="F65" s="3" t="s">
        <v>33</v>
      </c>
      <c r="G65" s="3" t="s">
        <v>5</v>
      </c>
      <c r="H65" s="3" t="s">
        <v>148</v>
      </c>
      <c r="I65" s="3" t="s">
        <v>149</v>
      </c>
      <c r="J65" s="3">
        <v>16</v>
      </c>
      <c r="K65" s="3"/>
      <c r="L65" s="3"/>
      <c r="M65" s="3"/>
      <c r="N65" s="3"/>
      <c r="O65" s="3" t="s">
        <v>151</v>
      </c>
      <c r="P65" s="3" t="s">
        <v>152</v>
      </c>
      <c r="Q65" s="3">
        <v>32.739985681494304</v>
      </c>
      <c r="R65" s="3">
        <v>132.99983079334399</v>
      </c>
    </row>
    <row r="66" spans="2:18">
      <c r="B66" s="3" t="s">
        <v>145</v>
      </c>
      <c r="C66" s="3" t="s">
        <v>146</v>
      </c>
      <c r="D66" s="3" t="s">
        <v>13</v>
      </c>
      <c r="F66" s="3" t="s">
        <v>33</v>
      </c>
      <c r="G66" s="3" t="s">
        <v>5</v>
      </c>
      <c r="H66" s="3" t="s">
        <v>148</v>
      </c>
      <c r="I66" s="3" t="s">
        <v>149</v>
      </c>
      <c r="J66" s="3">
        <v>16</v>
      </c>
      <c r="K66" s="3"/>
      <c r="L66" s="3"/>
      <c r="M66" s="3"/>
      <c r="N66" s="3"/>
      <c r="O66" s="3" t="s">
        <v>151</v>
      </c>
      <c r="P66" s="3" t="s">
        <v>152</v>
      </c>
      <c r="Q66" s="3">
        <v>32.782794736920998</v>
      </c>
      <c r="R66" s="3">
        <v>132.99231583296901</v>
      </c>
    </row>
    <row r="67" spans="2:18">
      <c r="B67" s="3" t="s">
        <v>162</v>
      </c>
      <c r="C67" s="3" t="s">
        <v>146</v>
      </c>
      <c r="D67" s="3" t="s">
        <v>120</v>
      </c>
      <c r="E67" s="3" t="s">
        <v>163</v>
      </c>
      <c r="F67" s="3" t="s">
        <v>121</v>
      </c>
      <c r="G67" s="3" t="s">
        <v>5</v>
      </c>
      <c r="H67" s="3" t="s">
        <v>121</v>
      </c>
      <c r="I67" s="3" t="s">
        <v>90</v>
      </c>
      <c r="J67" s="3">
        <v>134</v>
      </c>
      <c r="K67" s="3">
        <v>2025</v>
      </c>
      <c r="L67" s="3" t="s">
        <v>164</v>
      </c>
      <c r="M67" s="3">
        <v>13</v>
      </c>
      <c r="N67" s="3" t="s">
        <v>165</v>
      </c>
      <c r="O67" s="3" t="s">
        <v>92</v>
      </c>
      <c r="P67" s="3" t="s">
        <v>166</v>
      </c>
      <c r="Q67" s="3">
        <v>24.429697340000001</v>
      </c>
      <c r="R67" s="3">
        <v>124.0864524</v>
      </c>
    </row>
    <row r="68" spans="2:18">
      <c r="B68" s="3" t="s">
        <v>167</v>
      </c>
      <c r="C68" s="3" t="s">
        <v>146</v>
      </c>
      <c r="D68" s="3" t="s">
        <v>120</v>
      </c>
      <c r="E68" s="3" t="s">
        <v>168</v>
      </c>
      <c r="F68" s="3" t="s">
        <v>169</v>
      </c>
      <c r="G68" s="3" t="s">
        <v>5</v>
      </c>
      <c r="H68" s="3" t="s">
        <v>170</v>
      </c>
      <c r="I68" s="3" t="s">
        <v>171</v>
      </c>
      <c r="J68" s="3">
        <v>12</v>
      </c>
      <c r="K68" s="3">
        <v>2025</v>
      </c>
      <c r="L68" s="3" t="s">
        <v>164</v>
      </c>
      <c r="M68" s="3">
        <v>14</v>
      </c>
      <c r="N68" s="3" t="s">
        <v>165</v>
      </c>
      <c r="O68" s="3" t="s">
        <v>92</v>
      </c>
      <c r="P68" s="3" t="s">
        <v>172</v>
      </c>
      <c r="Q68" s="3">
        <v>24.387154979999998</v>
      </c>
      <c r="R68" s="3">
        <v>123.7474173</v>
      </c>
    </row>
    <row r="69" spans="2:18">
      <c r="B69" s="3" t="s">
        <v>167</v>
      </c>
      <c r="C69" s="3" t="s">
        <v>146</v>
      </c>
      <c r="D69" s="3" t="s">
        <v>120</v>
      </c>
      <c r="E69" s="3" t="s">
        <v>168</v>
      </c>
      <c r="F69" s="3" t="s">
        <v>169</v>
      </c>
      <c r="G69" s="3" t="s">
        <v>5</v>
      </c>
      <c r="H69" s="3" t="s">
        <v>170</v>
      </c>
      <c r="I69" s="3" t="s">
        <v>171</v>
      </c>
      <c r="J69" s="3">
        <v>12</v>
      </c>
      <c r="K69" s="3">
        <v>2025</v>
      </c>
      <c r="L69" s="3" t="s">
        <v>164</v>
      </c>
      <c r="M69" s="3">
        <v>15</v>
      </c>
      <c r="N69" s="3" t="s">
        <v>165</v>
      </c>
      <c r="O69" s="3" t="s">
        <v>92</v>
      </c>
      <c r="P69" s="3" t="s">
        <v>172</v>
      </c>
      <c r="Q69" s="3">
        <v>24.387154979999998</v>
      </c>
      <c r="R69" s="3">
        <v>123.7474173</v>
      </c>
    </row>
    <row r="70" spans="2:18">
      <c r="B70" s="3" t="s">
        <v>173</v>
      </c>
      <c r="C70" s="3" t="s">
        <v>174</v>
      </c>
      <c r="D70" s="3" t="s">
        <v>175</v>
      </c>
      <c r="E70" s="3" t="s">
        <v>176</v>
      </c>
      <c r="F70" s="3"/>
      <c r="G70" s="3"/>
      <c r="H70" s="3"/>
      <c r="I70" s="3"/>
      <c r="J70" s="3">
        <v>1612</v>
      </c>
      <c r="K70" s="3">
        <v>2025</v>
      </c>
      <c r="L70" s="3" t="s">
        <v>99</v>
      </c>
      <c r="M70" s="3">
        <v>15</v>
      </c>
      <c r="N70" s="3" t="s">
        <v>165</v>
      </c>
      <c r="O70" s="3" t="s">
        <v>92</v>
      </c>
      <c r="P70" s="3" t="s">
        <v>177</v>
      </c>
      <c r="Q70" s="3">
        <v>10.321548030000001</v>
      </c>
      <c r="R70" s="3">
        <v>-84.807990680000003</v>
      </c>
    </row>
    <row r="71" spans="2:18">
      <c r="B71" s="3" t="s">
        <v>173</v>
      </c>
      <c r="C71" s="3" t="s">
        <v>174</v>
      </c>
      <c r="D71" s="3" t="s">
        <v>175</v>
      </c>
      <c r="E71" s="3" t="s">
        <v>178</v>
      </c>
      <c r="F71" s="3"/>
      <c r="G71" s="3"/>
      <c r="H71" s="3"/>
      <c r="I71" s="3"/>
      <c r="J71" s="3">
        <v>1144</v>
      </c>
      <c r="K71" s="3">
        <v>2025</v>
      </c>
      <c r="L71" s="3" t="s">
        <v>99</v>
      </c>
      <c r="M71" s="3">
        <v>20</v>
      </c>
      <c r="N71" s="3" t="s">
        <v>165</v>
      </c>
      <c r="O71" s="3" t="s">
        <v>92</v>
      </c>
      <c r="P71" s="3" t="s">
        <v>179</v>
      </c>
      <c r="Q71" s="3">
        <v>10.284108120000001</v>
      </c>
      <c r="R71" s="3">
        <v>-84.79846671</v>
      </c>
    </row>
    <row r="72" spans="2:18">
      <c r="B72" s="3" t="s">
        <v>180</v>
      </c>
      <c r="C72" s="3" t="s">
        <v>174</v>
      </c>
      <c r="D72" s="3" t="s">
        <v>181</v>
      </c>
      <c r="E72" s="3" t="s">
        <v>182</v>
      </c>
      <c r="F72" s="3"/>
      <c r="G72" s="3"/>
      <c r="H72" s="3"/>
      <c r="I72" s="3"/>
      <c r="J72" s="3">
        <v>47</v>
      </c>
      <c r="K72" s="3">
        <v>2025</v>
      </c>
      <c r="L72" s="3" t="s">
        <v>99</v>
      </c>
      <c r="M72" s="3">
        <v>24</v>
      </c>
      <c r="N72" s="3" t="s">
        <v>165</v>
      </c>
      <c r="O72" s="3" t="s">
        <v>92</v>
      </c>
      <c r="P72" s="3" t="s">
        <v>183</v>
      </c>
      <c r="Q72" s="3">
        <v>10.434133210000001</v>
      </c>
      <c r="R72" s="3">
        <v>-84.002967200000001</v>
      </c>
    </row>
    <row r="73" spans="2:18">
      <c r="B73" s="3" t="s">
        <v>184</v>
      </c>
      <c r="C73" s="3" t="s">
        <v>185</v>
      </c>
      <c r="D73" s="3" t="s">
        <v>186</v>
      </c>
      <c r="E73" s="3" t="s">
        <v>187</v>
      </c>
      <c r="F73" s="3" t="s">
        <v>63</v>
      </c>
      <c r="G73" s="3" t="s">
        <v>5</v>
      </c>
      <c r="H73" s="3" t="s">
        <v>188</v>
      </c>
      <c r="I73" s="3"/>
      <c r="J73" s="3">
        <v>859</v>
      </c>
      <c r="K73" s="3">
        <v>2025</v>
      </c>
      <c r="L73" s="3" t="s">
        <v>189</v>
      </c>
      <c r="M73" s="3">
        <v>22</v>
      </c>
      <c r="N73" s="3" t="s">
        <v>165</v>
      </c>
      <c r="O73" s="3" t="s">
        <v>92</v>
      </c>
      <c r="P73" s="3" t="s">
        <v>190</v>
      </c>
      <c r="Q73" s="3">
        <v>24.8349139</v>
      </c>
      <c r="R73" s="3">
        <v>121.4078741</v>
      </c>
    </row>
    <row r="74" spans="2:18">
      <c r="B74" s="3" t="s">
        <v>191</v>
      </c>
      <c r="C74" s="3" t="s">
        <v>185</v>
      </c>
      <c r="D74" s="3" t="s">
        <v>192</v>
      </c>
      <c r="E74" s="3" t="s">
        <v>193</v>
      </c>
      <c r="F74" s="3" t="s">
        <v>63</v>
      </c>
      <c r="G74" s="3" t="s">
        <v>5</v>
      </c>
      <c r="H74" s="3" t="s">
        <v>194</v>
      </c>
      <c r="I74" s="3"/>
      <c r="J74" s="3">
        <v>1486</v>
      </c>
      <c r="K74" s="3">
        <v>2025</v>
      </c>
      <c r="L74" s="3" t="s">
        <v>189</v>
      </c>
      <c r="M74" s="3">
        <v>23</v>
      </c>
      <c r="N74" s="3" t="s">
        <v>165</v>
      </c>
      <c r="O74" s="3" t="s">
        <v>92</v>
      </c>
      <c r="P74" s="3" t="s">
        <v>195</v>
      </c>
      <c r="Q74" s="3">
        <v>24.665055980000002</v>
      </c>
      <c r="R74" s="3">
        <v>121.27541069999999</v>
      </c>
    </row>
    <row r="75" spans="2:18">
      <c r="B75" s="3" t="s">
        <v>196</v>
      </c>
      <c r="C75" s="3" t="s">
        <v>185</v>
      </c>
      <c r="D75" s="3" t="s">
        <v>197</v>
      </c>
      <c r="E75" s="3" t="s">
        <v>198</v>
      </c>
      <c r="F75" s="3" t="s">
        <v>63</v>
      </c>
      <c r="G75" s="3" t="s">
        <v>5</v>
      </c>
      <c r="H75" s="3" t="s">
        <v>199</v>
      </c>
      <c r="I75" s="3"/>
      <c r="J75" s="3">
        <v>633</v>
      </c>
      <c r="K75" s="3">
        <v>2025</v>
      </c>
      <c r="L75" s="3" t="s">
        <v>189</v>
      </c>
      <c r="M75" s="3">
        <v>24</v>
      </c>
      <c r="N75" s="3" t="s">
        <v>165</v>
      </c>
      <c r="O75" s="3" t="s">
        <v>92</v>
      </c>
      <c r="P75" s="3" t="s">
        <v>200</v>
      </c>
      <c r="Q75" s="3">
        <v>24.777743220000001</v>
      </c>
      <c r="R75" s="3">
        <v>121.48329339999999</v>
      </c>
    </row>
    <row r="76" spans="2:18">
      <c r="B76" s="3" t="s">
        <v>201</v>
      </c>
      <c r="C76" s="3" t="s">
        <v>185</v>
      </c>
      <c r="D76" s="3" t="s">
        <v>202</v>
      </c>
      <c r="E76" s="3" t="s">
        <v>203</v>
      </c>
      <c r="F76" s="3" t="s">
        <v>63</v>
      </c>
      <c r="G76" s="3" t="s">
        <v>5</v>
      </c>
      <c r="H76" s="3" t="s">
        <v>204</v>
      </c>
      <c r="I76" s="3"/>
      <c r="J76" s="3">
        <v>2454</v>
      </c>
      <c r="K76" s="3">
        <v>2025</v>
      </c>
      <c r="L76" s="3" t="s">
        <v>189</v>
      </c>
      <c r="M76" s="3">
        <v>25</v>
      </c>
      <c r="N76" s="3" t="s">
        <v>165</v>
      </c>
      <c r="O76" s="3" t="s">
        <v>92</v>
      </c>
      <c r="P76" s="3" t="s">
        <v>205</v>
      </c>
      <c r="Q76" s="3">
        <v>24.177212709999999</v>
      </c>
      <c r="R76" s="3">
        <v>121.37239889999999</v>
      </c>
    </row>
    <row r="77" spans="2:18">
      <c r="B77" s="3" t="s">
        <v>201</v>
      </c>
      <c r="C77" s="3" t="s">
        <v>185</v>
      </c>
      <c r="D77" s="3" t="s">
        <v>202</v>
      </c>
      <c r="E77" s="3" t="s">
        <v>203</v>
      </c>
      <c r="F77" s="3" t="s">
        <v>63</v>
      </c>
      <c r="G77" s="3" t="s">
        <v>5</v>
      </c>
      <c r="H77" s="3" t="s">
        <v>204</v>
      </c>
      <c r="I77" s="3"/>
      <c r="J77" s="3">
        <v>2023</v>
      </c>
      <c r="K77" s="3">
        <v>2025</v>
      </c>
      <c r="L77" s="3" t="s">
        <v>189</v>
      </c>
      <c r="M77" s="3">
        <v>25</v>
      </c>
      <c r="N77" s="3" t="s">
        <v>165</v>
      </c>
      <c r="O77" s="3" t="s">
        <v>92</v>
      </c>
      <c r="P77" s="3" t="s">
        <v>206</v>
      </c>
      <c r="Q77" s="3">
        <v>24.19438319</v>
      </c>
      <c r="R77" s="3">
        <v>121.3840879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山口　真毅</dc:creator>
  <cp:lastModifiedBy>山口　真毅</cp:lastModifiedBy>
  <dcterms:created xsi:type="dcterms:W3CDTF">2025-08-29T20:55:31Z</dcterms:created>
  <dcterms:modified xsi:type="dcterms:W3CDTF">2025-11-03T02:21:38Z</dcterms:modified>
</cp:coreProperties>
</file>