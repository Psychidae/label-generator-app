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saki/Desktop/Automation_rabel/"/>
    </mc:Choice>
  </mc:AlternateContent>
  <xr:revisionPtr revIDLastSave="0" documentId="13_ncr:1_{1F75B421-E74C-274D-AF21-9EF29A71A6EB}" xr6:coauthVersionLast="47" xr6:coauthVersionMax="47" xr10:uidLastSave="{00000000-0000-0000-0000-000000000000}"/>
  <bookViews>
    <workbookView xWindow="38400" yWindow="-16300" windowWidth="24000" windowHeight="37900" activeTab="1" xr2:uid="{36FF7462-1C90-2B4D-958E-F85743285EBB}"/>
  </bookViews>
  <sheets>
    <sheet name="手打ち入力" sheetId="1" r:id="rId1"/>
    <sheet name="自動入力ラベル" sheetId="3" r:id="rId2"/>
    <sheet name="入力用シート" sheetId="2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5" i="3"/>
  <c r="B1" i="3"/>
  <c r="B2" i="3"/>
  <c r="B3" i="3"/>
  <c r="B4" i="3"/>
  <c r="B6" i="3"/>
  <c r="B9" i="3"/>
  <c r="B10" i="3"/>
  <c r="B11" i="3"/>
  <c r="B12" i="3"/>
  <c r="B14" i="3"/>
  <c r="B17" i="3"/>
  <c r="B18" i="3"/>
  <c r="B19" i="3"/>
  <c r="B20" i="3"/>
  <c r="B21" i="3"/>
  <c r="B22" i="3"/>
  <c r="B25" i="3"/>
  <c r="B26" i="3"/>
  <c r="B27" i="3"/>
  <c r="B28" i="3"/>
  <c r="B29" i="3"/>
  <c r="B30" i="3"/>
  <c r="B33" i="3"/>
  <c r="B34" i="3"/>
  <c r="B35" i="3"/>
  <c r="B36" i="3"/>
  <c r="B37" i="3"/>
  <c r="B38" i="3"/>
  <c r="B41" i="3"/>
  <c r="B42" i="3"/>
  <c r="B43" i="3"/>
  <c r="B44" i="3"/>
  <c r="B45" i="3"/>
  <c r="B46" i="3"/>
  <c r="B49" i="3"/>
  <c r="B50" i="3"/>
  <c r="B51" i="3"/>
  <c r="B52" i="3"/>
  <c r="B53" i="3"/>
  <c r="B54" i="3"/>
  <c r="B57" i="3"/>
  <c r="B58" i="3"/>
  <c r="B59" i="3"/>
  <c r="B60" i="3"/>
  <c r="B61" i="3"/>
  <c r="B62" i="3"/>
  <c r="B65" i="3"/>
  <c r="B66" i="3"/>
  <c r="B67" i="3"/>
  <c r="B68" i="3"/>
  <c r="B69" i="3"/>
  <c r="B70" i="3"/>
  <c r="B73" i="3"/>
  <c r="B74" i="3"/>
  <c r="B75" i="3"/>
  <c r="B76" i="3"/>
  <c r="B77" i="3"/>
  <c r="B78" i="3"/>
  <c r="B81" i="3"/>
  <c r="B82" i="3"/>
  <c r="B83" i="3"/>
  <c r="B84" i="3"/>
  <c r="B85" i="3"/>
  <c r="B86" i="3"/>
  <c r="B89" i="3"/>
  <c r="B90" i="3"/>
  <c r="B91" i="3"/>
  <c r="B92" i="3"/>
  <c r="B93" i="3"/>
  <c r="B94" i="3"/>
  <c r="B97" i="3"/>
  <c r="B98" i="3"/>
  <c r="B99" i="3"/>
  <c r="B100" i="3"/>
  <c r="B101" i="3"/>
  <c r="B102" i="3"/>
  <c r="B105" i="3"/>
  <c r="B106" i="3"/>
  <c r="B107" i="3"/>
  <c r="B108" i="3"/>
  <c r="B109" i="3"/>
  <c r="B110" i="3"/>
  <c r="B113" i="3"/>
  <c r="B114" i="3"/>
  <c r="B115" i="3"/>
  <c r="B116" i="3"/>
  <c r="B117" i="3"/>
  <c r="B118" i="3"/>
  <c r="B121" i="3"/>
  <c r="B122" i="3"/>
  <c r="B123" i="3"/>
  <c r="B124" i="3"/>
  <c r="B125" i="3"/>
  <c r="B126" i="3"/>
  <c r="B129" i="3"/>
  <c r="B130" i="3"/>
  <c r="B131" i="3"/>
  <c r="B132" i="3"/>
  <c r="B133" i="3"/>
  <c r="B134" i="3"/>
  <c r="B137" i="3"/>
  <c r="B138" i="3"/>
  <c r="B139" i="3"/>
  <c r="B140" i="3"/>
  <c r="B141" i="3"/>
  <c r="B142" i="3"/>
  <c r="B145" i="3"/>
  <c r="B146" i="3"/>
  <c r="B147" i="3"/>
  <c r="B148" i="3"/>
  <c r="B149" i="3"/>
  <c r="B150" i="3"/>
  <c r="B153" i="3"/>
  <c r="B154" i="3"/>
  <c r="B155" i="3"/>
  <c r="B156" i="3"/>
  <c r="B157" i="3"/>
  <c r="B158" i="3"/>
  <c r="B161" i="3"/>
  <c r="B162" i="3"/>
  <c r="B163" i="3"/>
  <c r="B164" i="3"/>
  <c r="B165" i="3"/>
  <c r="B166" i="3"/>
  <c r="B169" i="3"/>
  <c r="B170" i="3"/>
  <c r="B171" i="3"/>
  <c r="B172" i="3"/>
  <c r="B173" i="3"/>
  <c r="B174" i="3"/>
  <c r="B177" i="3"/>
  <c r="B178" i="3"/>
  <c r="B179" i="3"/>
  <c r="B180" i="3"/>
  <c r="B181" i="3"/>
  <c r="B182" i="3"/>
  <c r="B185" i="3"/>
  <c r="B186" i="3"/>
  <c r="B187" i="3"/>
  <c r="B188" i="3"/>
  <c r="B189" i="3"/>
  <c r="B190" i="3"/>
</calcChain>
</file>

<file path=xl/sharedStrings.xml><?xml version="1.0" encoding="utf-8"?>
<sst xmlns="http://schemas.openxmlformats.org/spreadsheetml/2006/main" count="2226" uniqueCount="210">
  <si>
    <t>採集方法</t>
    <rPh sb="0" eb="4">
      <t xml:space="preserve">サイシュウホウホウ </t>
    </rPh>
    <phoneticPr fontId="1"/>
  </si>
  <si>
    <t>緯度経度</t>
    <rPh sb="0" eb="4">
      <t xml:space="preserve">イドケイド </t>
    </rPh>
    <phoneticPr fontId="1"/>
  </si>
  <si>
    <t>通し番号</t>
    <rPh sb="0" eb="1">
      <t xml:space="preserve">トオシバンゴウ </t>
    </rPh>
    <phoneticPr fontId="1"/>
  </si>
  <si>
    <t>日本語での地点名</t>
    <rPh sb="0" eb="3">
      <t xml:space="preserve">ニホンゴメイ </t>
    </rPh>
    <rPh sb="5" eb="8">
      <t xml:space="preserve">チテンメイ </t>
    </rPh>
    <phoneticPr fontId="1"/>
  </si>
  <si>
    <t>国</t>
    <rPh sb="0" eb="1">
      <t xml:space="preserve">クニ </t>
    </rPh>
    <phoneticPr fontId="1"/>
  </si>
  <si>
    <t>県名</t>
    <rPh sb="0" eb="2">
      <t xml:space="preserve">ケンメイ </t>
    </rPh>
    <phoneticPr fontId="1"/>
  </si>
  <si>
    <t>年</t>
    <rPh sb="0" eb="1">
      <t xml:space="preserve">ネン </t>
    </rPh>
    <phoneticPr fontId="1"/>
  </si>
  <si>
    <t>月</t>
    <rPh sb="0" eb="1">
      <t xml:space="preserve">ツキ </t>
    </rPh>
    <phoneticPr fontId="1"/>
  </si>
  <si>
    <t>日</t>
    <rPh sb="0" eb="1">
      <t xml:space="preserve">ヒ </t>
    </rPh>
    <phoneticPr fontId="1"/>
  </si>
  <si>
    <t>leg</t>
    <phoneticPr fontId="1"/>
  </si>
  <si>
    <t>地点</t>
    <rPh sb="0" eb="2">
      <t xml:space="preserve">チテン </t>
    </rPh>
    <phoneticPr fontId="1"/>
  </si>
  <si>
    <t>市区町村</t>
    <rPh sb="0" eb="3">
      <t xml:space="preserve">シクチョウ </t>
    </rPh>
    <rPh sb="3" eb="4">
      <t xml:space="preserve">ソン </t>
    </rPh>
    <phoneticPr fontId="1"/>
  </si>
  <si>
    <t>経度</t>
    <rPh sb="0" eb="2">
      <t xml:space="preserve">ケイド </t>
    </rPh>
    <phoneticPr fontId="1"/>
  </si>
  <si>
    <t>緯度</t>
    <rPh sb="0" eb="2">
      <t xml:space="preserve">イド </t>
    </rPh>
    <phoneticPr fontId="1"/>
  </si>
  <si>
    <t>alt</t>
    <phoneticPr fontId="1"/>
  </si>
  <si>
    <t>Masaki Yamaguchi leg.</t>
  </si>
  <si>
    <t>市区町村種別</t>
    <rPh sb="0" eb="4">
      <t xml:space="preserve">シクチョウソン </t>
    </rPh>
    <rPh sb="4" eb="6">
      <t xml:space="preserve">シュベツ </t>
    </rPh>
    <phoneticPr fontId="1"/>
  </si>
  <si>
    <t>[JPN:Okinawa-pref.]</t>
  </si>
  <si>
    <t>島の場合Is</t>
    <rPh sb="0" eb="1">
      <t xml:space="preserve">シマノバアイ </t>
    </rPh>
    <phoneticPr fontId="1"/>
  </si>
  <si>
    <t>島名・大陸名</t>
    <rPh sb="0" eb="2">
      <t xml:space="preserve">シマメイ </t>
    </rPh>
    <rPh sb="3" eb="5">
      <t xml:space="preserve">タイリクメイ </t>
    </rPh>
    <rPh sb="5" eb="6">
      <t xml:space="preserve">メイ </t>
    </rPh>
    <phoneticPr fontId="1"/>
  </si>
  <si>
    <t>山梨県北杜市</t>
  </si>
  <si>
    <t>長野県上田市菅平高原</t>
  </si>
  <si>
    <t>長野県東御市新張</t>
  </si>
  <si>
    <t>東京都八王子市高尾町</t>
  </si>
  <si>
    <t>山梨県上野原市西原</t>
  </si>
  <si>
    <t>山梨県甲州市大和町田野</t>
  </si>
  <si>
    <t>沖縄県石垣市南ぬ浜町</t>
  </si>
  <si>
    <t>横浜市栄区上郷町</t>
  </si>
  <si>
    <t>[JPN:Kanagawa-pref.]</t>
  </si>
  <si>
    <t>Segami_shiminnomori, honshu, Is.,</t>
  </si>
  <si>
    <t>kamigo-cho, (alt.64m)</t>
  </si>
  <si>
    <t>7.ⅲ.2025 LK</t>
  </si>
  <si>
    <t>Rena Kaneko leg.</t>
  </si>
  <si>
    <t>N35.36329, E139.58276</t>
  </si>
  <si>
    <t>八王子市高尾町</t>
  </si>
  <si>
    <t>[JPN:Tokyo-pref.]</t>
  </si>
  <si>
    <t>Takao, honshu, Is.,</t>
  </si>
  <si>
    <t>Takao-cho, (alt.424m)</t>
  </si>
  <si>
    <t>25.ⅳ.2025 LK</t>
  </si>
  <si>
    <t>N35.63010, E139.25694</t>
  </si>
  <si>
    <t>八王子市南大沢</t>
  </si>
  <si>
    <t>Matsuki, honshu, Is.,</t>
  </si>
  <si>
    <t>Minamiosawa-, (alt.135m)</t>
  </si>
  <si>
    <t>16.ⅵ.2025 LTP</t>
  </si>
  <si>
    <t>N35.61809, E139.38160</t>
  </si>
  <si>
    <t>石垣市野底</t>
  </si>
  <si>
    <t>Mt.Nosoko, Ishigaki, Is.,</t>
  </si>
  <si>
    <t>itona-, (alt.51.9m)</t>
  </si>
  <si>
    <t>11.ⅵ.2025 LTP</t>
  </si>
  <si>
    <t>N24.47699, E124.22953</t>
  </si>
  <si>
    <t>横須賀市鴨居</t>
  </si>
  <si>
    <t>[TW:Kanagawa -pref.]</t>
  </si>
  <si>
    <t>Kannonzaki, Honshu, Is.,</t>
  </si>
  <si>
    <t>Yokosuka-shi, (alt.23.4m)</t>
  </si>
  <si>
    <t>9.ⅵ.2025 LK</t>
  </si>
  <si>
    <t>N35.25605, E139.73984</t>
  </si>
  <si>
    <t>与那国島久宇良</t>
  </si>
  <si>
    <t>Mt.kuura, Yonaguni, Is.,</t>
  </si>
  <si>
    <t>Yonaguni-cho, (alt.31m)</t>
  </si>
  <si>
    <t>15.ⅲ.2025 LK</t>
  </si>
  <si>
    <t>N24.44842, E122.96818</t>
  </si>
  <si>
    <t>山梨県北杜市金山平</t>
  </si>
  <si>
    <t>[JPN:Yamanashi-pref.]</t>
  </si>
  <si>
    <t>Kanayamadaira, Honshu, Is.,</t>
  </si>
  <si>
    <t>Hokuto-shi, (alt.1513m)</t>
  </si>
  <si>
    <t>1513.ⅳ.2023 LK</t>
  </si>
  <si>
    <t>N35.87081, E138.57666</t>
  </si>
  <si>
    <t>長野県小海町</t>
  </si>
  <si>
    <t>[JPN:Nagano-pref.]</t>
  </si>
  <si>
    <t>Yachiho, Honshu , Is.,</t>
  </si>
  <si>
    <t>Koumi-cho, (alt.1802m)</t>
  </si>
  <si>
    <t>20.ⅳ.2024 LK</t>
  </si>
  <si>
    <t>N36.05689, E138.37734</t>
  </si>
  <si>
    <t>福島県岩瀬郡天栄村田良尾</t>
  </si>
  <si>
    <t>[JPN:Hukushima-pref.]</t>
  </si>
  <si>
    <t>Tarao, Honshu, Is.,</t>
  </si>
  <si>
    <t>Tenei-mura, (alt.955m)</t>
  </si>
  <si>
    <t>2.Ⅷ.2025 LTP</t>
  </si>
  <si>
    <t>N37.26002, E140.06084</t>
  </si>
  <si>
    <t>台北市北投区温泉里</t>
  </si>
  <si>
    <t>[TW:Taipei-pref.]</t>
  </si>
  <si>
    <t>Wenquan Li, Taiwan, Is.,</t>
  </si>
  <si>
    <t>Beitou-district, (alt.60m)</t>
  </si>
  <si>
    <t>23.ⅵ.2025 LTP</t>
  </si>
  <si>
    <t>N25.13518, E121.50763</t>
  </si>
  <si>
    <t xml:space="preserve">台北市士林区菁山里 </t>
  </si>
  <si>
    <t>Jingshan, Taiwan, Is.,</t>
  </si>
  <si>
    <t>Shilin-district, (alt.420m)</t>
  </si>
  <si>
    <t>24.ⅵ.2025 LTP</t>
  </si>
  <si>
    <t>N25.18779, E121.57332</t>
  </si>
  <si>
    <t>台北市北投区湖田里</t>
  </si>
  <si>
    <t>Hutian Li, Taiwan , is.,</t>
  </si>
  <si>
    <t>Beitou-district, (alt.640m)</t>
  </si>
  <si>
    <t>25.ⅵ.2025 LTP</t>
  </si>
  <si>
    <t>N25.16103, E121.54930</t>
  </si>
  <si>
    <t>嘉義県梅山郷太和村</t>
  </si>
  <si>
    <t>[TW:Chiayi-pref.]</t>
  </si>
  <si>
    <t>Meishan, Taiwan , Is.,</t>
  </si>
  <si>
    <t>Taihe-village, (alt.1700m)</t>
  </si>
  <si>
    <t>27.ⅵ.2025 LTP</t>
  </si>
  <si>
    <t>N25.16101, E121.54925</t>
  </si>
  <si>
    <t>嘉義県阿里山郷楽野村</t>
  </si>
  <si>
    <t>Alishan, Taiwan, Is.,</t>
  </si>
  <si>
    <t>Leye-village, (alt.1360m)</t>
  </si>
  <si>
    <t>28.ⅵ.2025 LTP</t>
  </si>
  <si>
    <t>N23.47808, E120.71771</t>
  </si>
  <si>
    <t>Masaki Yamaguchi leg.</t>
    <phoneticPr fontId="1"/>
  </si>
  <si>
    <t>Hokuto, Honshu , Is.,</t>
  </si>
  <si>
    <t>Hokuto-shi, (alt.1545m)</t>
  </si>
  <si>
    <t>22.viii.2025 light trap, Masaki Yamaguchi</t>
  </si>
  <si>
    <t>N35.81724, E138.55184</t>
  </si>
  <si>
    <t>22.viii.2025 light trap, Hayate Endo</t>
  </si>
  <si>
    <t>Sugadairakōgen, Honshu , Is.,</t>
  </si>
  <si>
    <t>Ueda-shi, (alt.1319m)</t>
  </si>
  <si>
    <t>9.v.2025 looking, Masaki Yamaguchi</t>
  </si>
  <si>
    <t>N36.52452, E138.34706</t>
  </si>
  <si>
    <t>Mihari, Honshu , Is.,</t>
  </si>
  <si>
    <t>Tomi-shi, (alt.1730m)</t>
  </si>
  <si>
    <t>7.v.2025 looking, Masaki Yamaguchi</t>
  </si>
  <si>
    <t>N36.42763, E138.41967</t>
  </si>
  <si>
    <t>Takaomachi, Honshu , Is.,</t>
  </si>
  <si>
    <t>Hachioji-shi, (alt.457m)</t>
  </si>
  <si>
    <t>27.iv.2025 looking, Masaki Yamaguchi</t>
  </si>
  <si>
    <t>N35.62984, E139.25134</t>
  </si>
  <si>
    <t>Saihara, Honshu , Is.,</t>
  </si>
  <si>
    <t>Uenohara-shi, (alt.525m)</t>
  </si>
  <si>
    <t>29.viii.2025 looking, Masaki Yamaguchi</t>
  </si>
  <si>
    <t>N35.68804, E139.03346</t>
  </si>
  <si>
    <t>Yamatochō Tano, Honshu , Is.,</t>
  </si>
  <si>
    <t>Koshu-shi, (alt.766m)</t>
  </si>
  <si>
    <t>N35.64326, E138.80684</t>
  </si>
  <si>
    <t>沖縄県石垣市屋良部岳</t>
  </si>
  <si>
    <t>Ishigaki, Ishigaki, Is.,</t>
  </si>
  <si>
    <t>Ishigaki-shi, (alt.135m)</t>
  </si>
  <si>
    <t>9.ix.2025 light trap, Masaki Yamaguchi</t>
  </si>
  <si>
    <t>N24.44159, E124.09682</t>
  </si>
  <si>
    <t>Painuhamacho, Ishigaki, Is.,</t>
  </si>
  <si>
    <t>Ishigaki-shi, (alt.5m)</t>
  </si>
  <si>
    <t>8.ix.2025 looking, M.Yamaguchi&amp;R.Miyata</t>
  </si>
  <si>
    <t>N24.33067, E124.15709</t>
  </si>
  <si>
    <t>Ishigaki-shi, (alt.26m)</t>
  </si>
  <si>
    <t>N24.44457, E124.08064</t>
  </si>
  <si>
    <t>沖縄県石垣市せせらぎ公園</t>
  </si>
  <si>
    <t>Ishigaki-shi, (alt.65m)</t>
  </si>
  <si>
    <t>9.ix.2025 looking, Masaki Yamaguchi</t>
  </si>
  <si>
    <t>N24.43315, E124.21076</t>
  </si>
  <si>
    <t>沖縄県石垣市野底</t>
  </si>
  <si>
    <t>Ishigaki-shi, (alt.60m)</t>
  </si>
  <si>
    <t>8.ix.2025 looking, Masaki Yamaguchi</t>
  </si>
  <si>
    <t>N24.47699, E124.23057</t>
  </si>
  <si>
    <t>沖縄県石垣市白保</t>
  </si>
  <si>
    <t>Ishigaki-shi, (alt.40m)</t>
  </si>
  <si>
    <t>N24.40943, E124.24106</t>
  </si>
  <si>
    <t>Ishigaki-shi, (alt.35m)</t>
  </si>
  <si>
    <t>7.ix.2025 light trap, Masaki Yamaguchi</t>
  </si>
  <si>
    <t>N24.44578, E124.08145</t>
  </si>
  <si>
    <t>沖縄県石垣市崎枝</t>
  </si>
  <si>
    <t>Sakieda, Ishigaki, Is.,</t>
  </si>
  <si>
    <t>N24.43341, E124.10244</t>
  </si>
  <si>
    <t>Ishigaki-shi, (alt.51m)</t>
  </si>
  <si>
    <t>N24.47736, E124.23040</t>
  </si>
  <si>
    <t>[:-pref.]</t>
  </si>
  <si>
    <t xml:space="preserve">, </t>
  </si>
  <si>
    <t>-</t>
  </si>
  <si>
    <t xml:space="preserve">.. , </t>
  </si>
  <si>
    <t>N0.00000, E0.00000</t>
  </si>
  <si>
    <t>x</t>
  </si>
  <si>
    <t>v</t>
  </si>
  <si>
    <t>35.62969828324389, 139.24611963341107</t>
  </si>
  <si>
    <t>35.25692418844977, 139.74039243964077</t>
  </si>
  <si>
    <t>24.477538153354185, 124.23073065065063</t>
  </si>
  <si>
    <t>36.42921814979149, 138.41797667237086</t>
  </si>
  <si>
    <t>36.30075052275591, 138.76238073680415</t>
  </si>
  <si>
    <t>35.85966576505269, 138.56990528469996</t>
  </si>
  <si>
    <t>35.87618344836389, 138.57843383059884</t>
  </si>
  <si>
    <t>35.678580002441805, 139.75390978426358</t>
  </si>
  <si>
    <t>43.89158915225782, 142.45833211063322</t>
  </si>
  <si>
    <t>35.64147570947369, 138.80963461057075</t>
  </si>
  <si>
    <t>34.73127914013429, 139.3922700951225</t>
  </si>
  <si>
    <t>iv</t>
  </si>
  <si>
    <t>M.yamaguchi</t>
  </si>
  <si>
    <t>35.62969828324389, 139.24611963341107, nan</t>
  </si>
  <si>
    <t>vi</t>
  </si>
  <si>
    <t>Looking</t>
  </si>
  <si>
    <t>35.25692418844977, 139.74039243964077, nan</t>
  </si>
  <si>
    <t>24.477538153354185, 124.23073065065063, nan</t>
  </si>
  <si>
    <t>36.42921814979149, 138.41797667237086, nan</t>
  </si>
  <si>
    <t>36.30075052275591, 138.76238073680415, nan</t>
  </si>
  <si>
    <t>35.85966576505269, 138.56990528469996, nan</t>
  </si>
  <si>
    <t>35.87618344836389, 138.57843383059884, nan</t>
  </si>
  <si>
    <t>35.678580002441805, 139.75390978426358, nan</t>
  </si>
  <si>
    <t>43.89158915225782, 142.45833211063322, nan</t>
  </si>
  <si>
    <t>viii</t>
  </si>
  <si>
    <t>35.64147570947369, 138.80963461057075, nan</t>
  </si>
  <si>
    <t>Loioking</t>
  </si>
  <si>
    <t>K.harada</t>
  </si>
  <si>
    <t>34.73127914013429, 139.3922700951225, nan</t>
  </si>
  <si>
    <t>JP</t>
    <phoneticPr fontId="1"/>
  </si>
  <si>
    <t>東京都八王子市</t>
    <rPh sb="0" eb="3">
      <t>トウキョウ</t>
    </rPh>
    <rPh sb="3" eb="7">
      <t>ハチオウ</t>
    </rPh>
    <phoneticPr fontId="1"/>
  </si>
  <si>
    <t>Tokyo</t>
    <phoneticPr fontId="1"/>
  </si>
  <si>
    <t>Honshu</t>
    <phoneticPr fontId="1"/>
  </si>
  <si>
    <t>Is</t>
    <phoneticPr fontId="1"/>
  </si>
  <si>
    <t>Hachioji</t>
    <phoneticPr fontId="1"/>
  </si>
  <si>
    <t>shi</t>
    <phoneticPr fontId="1"/>
  </si>
  <si>
    <t>神奈川県横須賀市</t>
    <rPh sb="0" eb="4">
      <t>カナガワ</t>
    </rPh>
    <rPh sb="4" eb="8">
      <t>ヨコスカ</t>
    </rPh>
    <phoneticPr fontId="1"/>
  </si>
  <si>
    <t xml:space="preserve">Kanagawa </t>
    <phoneticPr fontId="1"/>
  </si>
  <si>
    <t>Kannonnzaki</t>
    <phoneticPr fontId="1"/>
  </si>
  <si>
    <t>Yokosuka</t>
    <phoneticPr fontId="1"/>
  </si>
  <si>
    <t>Looking</t>
    <phoneticPr fontId="1"/>
  </si>
  <si>
    <t>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</si>
</sst>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&lt;=999]000;[&lt;=9999]000\-00;000\-0000"/>
    <numFmt numFmtId="177" formatCode="0.0000_);[Red]\(0.0000\)"/>
    <numFmt numFmtId="178" formatCode="0.0000_);\(0.0000\)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3"/>
      <color theme="1"/>
      <name val="游ゴシック"/>
      <family val="3"/>
      <charset val="128"/>
      <scheme val="minor"/>
    </font>
    <font>
      <sz val="3"/>
      <color theme="1"/>
      <name val="游ゴシック"/>
      <family val="3"/>
      <charset val="128"/>
      <scheme val="minor"/>
    </font>
    <font>
      <sz val="1"/>
      <color theme="1"/>
      <name val="游ゴシック"/>
      <family val="2"/>
      <charset val="128"/>
      <scheme val="minor"/>
    </font>
    <font>
      <sz val="3"/>
      <color theme="1"/>
      <name val="游ゴシック"/>
      <family val="2"/>
      <charset val="128"/>
      <scheme val="minor"/>
    </font>
    <font>
      <sz val="3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619E-5472-554D-AAA2-F99917D4F82C}">
  <sheetPr codeName="Sheet1"/>
  <dimension ref="A1:AB200"/>
  <sheetViews>
    <sheetView topLeftCell="A106" zoomScale="315" zoomScaleNormal="400" zoomScalePageLayoutView="400" workbookViewId="0">
      <selection activeCell="D204" sqref="D204"/>
    </sheetView>
  </sheetViews>
  <sheetFormatPr baseColWidth="10" defaultRowHeight="20"/>
  <cols>
    <col min="1" max="1" width="0.140625" style="5" customWidth="1"/>
    <col min="2" max="2" width="9.28515625" style="3" customWidth="1"/>
    <col min="3" max="3" width="0.140625" style="5" customWidth="1"/>
    <col min="4" max="4" width="9.28515625" style="3" customWidth="1"/>
    <col min="5" max="5" width="0.140625" style="5" customWidth="1"/>
    <col min="6" max="6" width="9.28515625" style="3" customWidth="1"/>
    <col min="7" max="7" width="0.140625" style="5" customWidth="1"/>
    <col min="8" max="8" width="9.28515625" style="3" customWidth="1"/>
    <col min="9" max="9" width="0.140625" style="5" customWidth="1"/>
    <col min="10" max="10" width="9.28515625" style="3" customWidth="1"/>
    <col min="11" max="11" width="0.140625" style="5" customWidth="1"/>
    <col min="12" max="12" width="9.28515625" style="3" customWidth="1"/>
    <col min="13" max="13" width="0.140625" style="5" customWidth="1"/>
    <col min="14" max="14" width="9.28515625" style="3" customWidth="1"/>
    <col min="15" max="15" width="0.140625" style="5" customWidth="1"/>
    <col min="16" max="16" width="9.28515625" style="3" customWidth="1"/>
    <col min="17" max="17" width="0.140625" style="6" customWidth="1"/>
    <col min="18" max="18" width="9.28515625" style="3" customWidth="1"/>
    <col min="19" max="19" width="0.140625" style="6" customWidth="1"/>
    <col min="20" max="20" width="9.28515625" style="3" customWidth="1"/>
    <col min="21" max="21" width="0.140625" style="6" customWidth="1"/>
    <col min="22" max="22" width="9.28515625" style="3" customWidth="1"/>
    <col min="23" max="23" width="0.140625" style="6" customWidth="1"/>
    <col min="24" max="24" width="9.28515625" style="3" customWidth="1"/>
    <col min="25" max="25" width="0.140625" style="6" customWidth="1"/>
    <col min="26" max="26" width="9.28515625" style="3" customWidth="1"/>
    <col min="27" max="27" width="0.140625" style="6" customWidth="1"/>
    <col min="28" max="28" width="9.28515625" style="3" customWidth="1"/>
  </cols>
  <sheetData>
    <row r="1" spans="2:28" ht="4" customHeight="1">
      <c r="B1" s="1" t="s">
        <v>27</v>
      </c>
      <c r="D1" s="1" t="s">
        <v>27</v>
      </c>
      <c r="F1" s="1" t="s">
        <v>27</v>
      </c>
      <c r="H1" s="1" t="s">
        <v>27</v>
      </c>
      <c r="J1" s="1" t="s">
        <v>27</v>
      </c>
      <c r="L1" s="1" t="s">
        <v>27</v>
      </c>
      <c r="N1" s="1" t="s">
        <v>27</v>
      </c>
      <c r="P1" s="1"/>
      <c r="Q1" s="5"/>
      <c r="R1" s="1"/>
      <c r="S1" s="5"/>
      <c r="T1" s="1"/>
      <c r="U1" s="5"/>
      <c r="V1" s="1"/>
      <c r="W1" s="5"/>
      <c r="X1" s="1"/>
      <c r="Y1" s="5"/>
      <c r="Z1" s="1"/>
      <c r="AA1" s="5"/>
      <c r="AB1" s="1"/>
    </row>
    <row r="2" spans="2:28" ht="4" customHeight="1">
      <c r="B2" s="1" t="s">
        <v>28</v>
      </c>
      <c r="D2" s="1" t="s">
        <v>28</v>
      </c>
      <c r="F2" s="1" t="s">
        <v>28</v>
      </c>
      <c r="H2" s="1" t="s">
        <v>28</v>
      </c>
      <c r="J2" s="1" t="s">
        <v>28</v>
      </c>
      <c r="L2" s="1" t="s">
        <v>28</v>
      </c>
      <c r="N2" s="1" t="s">
        <v>28</v>
      </c>
      <c r="P2" s="1"/>
      <c r="Q2" s="5"/>
      <c r="R2" s="1"/>
      <c r="S2" s="5"/>
      <c r="T2" s="1"/>
      <c r="U2" s="5"/>
      <c r="V2" s="1"/>
      <c r="W2" s="5"/>
      <c r="X2" s="1"/>
      <c r="Y2" s="5"/>
      <c r="Z2" s="1"/>
      <c r="AA2" s="5"/>
      <c r="AB2" s="1"/>
    </row>
    <row r="3" spans="2:28" ht="4" customHeight="1">
      <c r="B3" s="2" t="s">
        <v>29</v>
      </c>
      <c r="D3" s="2" t="s">
        <v>29</v>
      </c>
      <c r="F3" s="2" t="s">
        <v>29</v>
      </c>
      <c r="H3" s="2" t="s">
        <v>29</v>
      </c>
      <c r="J3" s="2" t="s">
        <v>29</v>
      </c>
      <c r="L3" s="2" t="s">
        <v>29</v>
      </c>
      <c r="N3" s="2" t="s">
        <v>29</v>
      </c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</row>
    <row r="4" spans="2:28" ht="4" customHeight="1">
      <c r="B4" s="2" t="s">
        <v>30</v>
      </c>
      <c r="D4" s="2" t="s">
        <v>30</v>
      </c>
      <c r="F4" s="2" t="s">
        <v>30</v>
      </c>
      <c r="H4" s="2" t="s">
        <v>30</v>
      </c>
      <c r="J4" s="2" t="s">
        <v>30</v>
      </c>
      <c r="L4" s="2" t="s">
        <v>30</v>
      </c>
      <c r="N4" s="2" t="s">
        <v>30</v>
      </c>
      <c r="P4" s="2"/>
      <c r="Q4" s="5"/>
      <c r="R4" s="2"/>
      <c r="S4" s="5"/>
      <c r="T4" s="2"/>
      <c r="U4" s="5"/>
      <c r="V4" s="2"/>
      <c r="W4" s="5"/>
      <c r="X4" s="2"/>
      <c r="Y4" s="5"/>
      <c r="Z4" s="2"/>
      <c r="AA4" s="5"/>
      <c r="AB4" s="2"/>
    </row>
    <row r="5" spans="2:28" ht="3" customHeight="1">
      <c r="B5" s="2" t="s">
        <v>31</v>
      </c>
      <c r="D5" s="2" t="s">
        <v>31</v>
      </c>
      <c r="F5" s="2" t="s">
        <v>31</v>
      </c>
      <c r="H5" s="2" t="s">
        <v>31</v>
      </c>
      <c r="J5" s="2" t="s">
        <v>31</v>
      </c>
      <c r="L5" s="2" t="s">
        <v>31</v>
      </c>
      <c r="N5" s="2" t="s">
        <v>31</v>
      </c>
      <c r="P5" s="2"/>
      <c r="Q5" s="5"/>
      <c r="R5" s="2"/>
      <c r="S5" s="5"/>
      <c r="T5" s="2"/>
      <c r="U5" s="5"/>
      <c r="V5" s="2"/>
      <c r="W5" s="5"/>
      <c r="X5" s="2"/>
      <c r="Y5" s="5"/>
      <c r="Z5" s="2"/>
      <c r="AA5" s="5"/>
      <c r="AB5" s="2"/>
    </row>
    <row r="6" spans="2:28" ht="4" customHeight="1">
      <c r="B6" s="2" t="s">
        <v>32</v>
      </c>
      <c r="D6" s="2" t="s">
        <v>32</v>
      </c>
      <c r="F6" s="2" t="s">
        <v>32</v>
      </c>
      <c r="H6" s="2" t="s">
        <v>32</v>
      </c>
      <c r="J6" s="2" t="s">
        <v>32</v>
      </c>
      <c r="L6" s="2" t="s">
        <v>32</v>
      </c>
      <c r="N6" s="2" t="s">
        <v>32</v>
      </c>
      <c r="P6" s="2"/>
      <c r="Q6" s="5"/>
      <c r="R6" s="2"/>
      <c r="S6" s="5"/>
      <c r="T6" s="2"/>
      <c r="U6" s="5"/>
      <c r="V6" s="2"/>
      <c r="W6" s="5"/>
      <c r="X6" s="2"/>
      <c r="Y6" s="5"/>
      <c r="Z6" s="2"/>
      <c r="AA6" s="5"/>
      <c r="AB6" s="2"/>
    </row>
    <row r="7" spans="2:28" ht="4" customHeight="1">
      <c r="B7" s="2" t="s">
        <v>33</v>
      </c>
      <c r="D7" s="2" t="s">
        <v>33</v>
      </c>
      <c r="F7" s="2" t="s">
        <v>33</v>
      </c>
      <c r="H7" s="2" t="s">
        <v>33</v>
      </c>
      <c r="J7" s="2" t="s">
        <v>33</v>
      </c>
      <c r="L7" s="2" t="s">
        <v>33</v>
      </c>
      <c r="N7" s="2" t="s">
        <v>33</v>
      </c>
      <c r="P7" s="2"/>
      <c r="Q7" s="5"/>
      <c r="R7" s="2"/>
      <c r="S7" s="5"/>
      <c r="T7" s="2"/>
      <c r="U7" s="5"/>
      <c r="V7" s="2"/>
      <c r="W7" s="5"/>
      <c r="X7" s="2"/>
      <c r="Y7" s="5"/>
      <c r="Z7" s="2"/>
      <c r="AA7" s="5"/>
      <c r="AB7" s="2"/>
    </row>
    <row r="8" spans="2:28" ht="1" customHeight="1">
      <c r="B8" s="1"/>
      <c r="D8" s="1"/>
      <c r="F8" s="1"/>
      <c r="H8" s="1"/>
      <c r="J8" s="1"/>
      <c r="L8" s="1"/>
      <c r="N8" s="1"/>
      <c r="P8" s="1"/>
      <c r="Q8" s="5"/>
      <c r="R8" s="1"/>
      <c r="S8" s="5"/>
      <c r="T8" s="1"/>
      <c r="U8" s="5"/>
      <c r="V8" s="1"/>
      <c r="W8" s="5"/>
      <c r="X8" s="1"/>
      <c r="Y8" s="5"/>
      <c r="Z8" s="1"/>
      <c r="AA8" s="5"/>
      <c r="AB8" s="1"/>
    </row>
    <row r="9" spans="2:28" ht="4" customHeight="1">
      <c r="B9" s="1" t="s">
        <v>34</v>
      </c>
      <c r="D9" s="1" t="s">
        <v>34</v>
      </c>
      <c r="F9" s="1" t="s">
        <v>34</v>
      </c>
      <c r="H9" s="1" t="s">
        <v>34</v>
      </c>
      <c r="J9" s="1" t="s">
        <v>34</v>
      </c>
      <c r="L9" s="1" t="s">
        <v>34</v>
      </c>
      <c r="N9" s="1" t="s">
        <v>34</v>
      </c>
      <c r="P9" s="1"/>
      <c r="Q9" s="5"/>
      <c r="R9" s="1"/>
      <c r="S9" s="5"/>
      <c r="T9" s="1"/>
      <c r="U9" s="5"/>
      <c r="V9" s="1"/>
      <c r="W9" s="5"/>
      <c r="X9" s="1"/>
      <c r="Y9" s="5"/>
      <c r="Z9" s="1"/>
      <c r="AA9" s="5"/>
      <c r="AB9" s="1"/>
    </row>
    <row r="10" spans="2:28" ht="4" customHeight="1">
      <c r="B10" s="1" t="s">
        <v>35</v>
      </c>
      <c r="D10" s="1" t="s">
        <v>35</v>
      </c>
      <c r="F10" s="1" t="s">
        <v>35</v>
      </c>
      <c r="H10" s="1" t="s">
        <v>35</v>
      </c>
      <c r="J10" s="1" t="s">
        <v>35</v>
      </c>
      <c r="L10" s="1" t="s">
        <v>35</v>
      </c>
      <c r="N10" s="1" t="s">
        <v>35</v>
      </c>
      <c r="P10" s="1"/>
      <c r="Q10" s="5"/>
      <c r="R10" s="1"/>
      <c r="S10" s="5"/>
      <c r="T10" s="1"/>
      <c r="U10" s="5"/>
      <c r="V10" s="1"/>
      <c r="W10" s="5"/>
      <c r="X10" s="1"/>
      <c r="Y10" s="5"/>
      <c r="Z10" s="1"/>
      <c r="AA10" s="5"/>
      <c r="AB10" s="1"/>
    </row>
    <row r="11" spans="2:28" ht="4" customHeight="1">
      <c r="B11" s="11" t="s">
        <v>36</v>
      </c>
      <c r="D11" s="11" t="s">
        <v>36</v>
      </c>
      <c r="F11" s="11" t="s">
        <v>36</v>
      </c>
      <c r="H11" s="11" t="s">
        <v>36</v>
      </c>
      <c r="J11" s="11" t="s">
        <v>36</v>
      </c>
      <c r="L11" s="11" t="s">
        <v>36</v>
      </c>
      <c r="N11" s="11" t="s">
        <v>36</v>
      </c>
      <c r="P11" s="4"/>
      <c r="Q11" s="5"/>
      <c r="R11" s="4"/>
      <c r="S11" s="5"/>
      <c r="T11" s="4"/>
      <c r="U11" s="5"/>
      <c r="V11" s="4"/>
      <c r="W11" s="5"/>
      <c r="X11" s="4"/>
      <c r="Y11" s="5"/>
      <c r="Z11" s="4"/>
      <c r="AA11" s="5"/>
      <c r="AB11" s="4"/>
    </row>
    <row r="12" spans="2:28" ht="4" customHeight="1">
      <c r="B12" s="2" t="s">
        <v>37</v>
      </c>
      <c r="D12" s="2" t="s">
        <v>37</v>
      </c>
      <c r="F12" s="2" t="s">
        <v>37</v>
      </c>
      <c r="H12" s="2" t="s">
        <v>37</v>
      </c>
      <c r="J12" s="2" t="s">
        <v>37</v>
      </c>
      <c r="L12" s="2" t="s">
        <v>37</v>
      </c>
      <c r="N12" s="2" t="s">
        <v>37</v>
      </c>
      <c r="P12" s="2"/>
      <c r="Q12" s="5"/>
      <c r="R12" s="2"/>
      <c r="S12" s="5"/>
      <c r="T12" s="2"/>
      <c r="U12" s="5"/>
      <c r="V12" s="2"/>
      <c r="W12" s="5"/>
      <c r="X12" s="2"/>
      <c r="Y12" s="5"/>
      <c r="Z12" s="2"/>
      <c r="AA12" s="5"/>
      <c r="AB12" s="2"/>
    </row>
    <row r="13" spans="2:28" ht="3" customHeight="1">
      <c r="B13" s="2" t="s">
        <v>38</v>
      </c>
      <c r="D13" s="2" t="s">
        <v>38</v>
      </c>
      <c r="F13" s="2" t="s">
        <v>38</v>
      </c>
      <c r="H13" s="2" t="s">
        <v>38</v>
      </c>
      <c r="J13" s="2" t="s">
        <v>38</v>
      </c>
      <c r="L13" s="2" t="s">
        <v>38</v>
      </c>
      <c r="N13" s="2" t="s">
        <v>38</v>
      </c>
      <c r="P13" s="2"/>
      <c r="Q13" s="5"/>
      <c r="R13" s="2"/>
      <c r="S13" s="5"/>
      <c r="T13" s="2"/>
      <c r="U13" s="5"/>
      <c r="V13" s="2"/>
      <c r="W13" s="5"/>
      <c r="X13" s="2"/>
      <c r="Y13" s="5"/>
      <c r="Z13" s="2"/>
      <c r="AA13" s="5"/>
      <c r="AB13" s="2"/>
    </row>
    <row r="14" spans="2:28" ht="4" customHeight="1">
      <c r="B14" s="2" t="s">
        <v>15</v>
      </c>
      <c r="D14" s="2" t="s">
        <v>15</v>
      </c>
      <c r="F14" s="2" t="s">
        <v>15</v>
      </c>
      <c r="H14" s="2" t="s">
        <v>15</v>
      </c>
      <c r="J14" s="2" t="s">
        <v>15</v>
      </c>
      <c r="L14" s="2" t="s">
        <v>15</v>
      </c>
      <c r="N14" s="2" t="s">
        <v>15</v>
      </c>
      <c r="P14" s="2"/>
      <c r="Q14" s="5"/>
      <c r="R14" s="2"/>
      <c r="S14" s="5"/>
      <c r="T14" s="2"/>
      <c r="U14" s="5"/>
      <c r="V14" s="2"/>
      <c r="W14" s="5"/>
      <c r="X14" s="2"/>
      <c r="Y14" s="5"/>
      <c r="Z14" s="2"/>
      <c r="AA14" s="5"/>
      <c r="AB14" s="2"/>
    </row>
    <row r="15" spans="2:28" ht="4" customHeight="1">
      <c r="B15" s="2" t="s">
        <v>39</v>
      </c>
      <c r="D15" s="2" t="s">
        <v>39</v>
      </c>
      <c r="F15" s="2" t="s">
        <v>39</v>
      </c>
      <c r="H15" s="2" t="s">
        <v>39</v>
      </c>
      <c r="J15" s="2" t="s">
        <v>39</v>
      </c>
      <c r="L15" s="2" t="s">
        <v>39</v>
      </c>
      <c r="N15" s="2" t="s">
        <v>39</v>
      </c>
      <c r="P15" s="2"/>
      <c r="Q15" s="5"/>
      <c r="R15" s="2"/>
      <c r="S15" s="5"/>
      <c r="T15" s="2"/>
      <c r="U15" s="5"/>
      <c r="V15" s="2"/>
      <c r="W15" s="5"/>
      <c r="X15" s="2"/>
      <c r="Y15" s="5"/>
      <c r="Z15" s="2"/>
      <c r="AA15" s="5"/>
      <c r="AB15" s="2"/>
    </row>
    <row r="16" spans="2:28" ht="1" customHeight="1">
      <c r="B16" s="1"/>
      <c r="D16" s="1"/>
      <c r="F16" s="1"/>
      <c r="H16" s="1"/>
      <c r="J16" s="1"/>
      <c r="L16" s="1"/>
      <c r="N16" s="1"/>
      <c r="P16" s="1"/>
      <c r="Q16" s="5"/>
      <c r="R16" s="1"/>
      <c r="S16" s="5"/>
      <c r="T16" s="1"/>
      <c r="U16" s="5"/>
      <c r="V16" s="1"/>
      <c r="W16" s="5"/>
      <c r="X16" s="1"/>
      <c r="Y16" s="5"/>
      <c r="Z16" s="1"/>
      <c r="AA16" s="5"/>
      <c r="AB16" s="1"/>
    </row>
    <row r="17" spans="2:28" ht="4" customHeight="1">
      <c r="B17" s="1" t="s">
        <v>40</v>
      </c>
      <c r="D17" s="1" t="s">
        <v>40</v>
      </c>
      <c r="F17" s="1" t="s">
        <v>40</v>
      </c>
      <c r="H17" s="1" t="s">
        <v>40</v>
      </c>
      <c r="J17" s="1" t="s">
        <v>40</v>
      </c>
      <c r="L17" s="1" t="s">
        <v>40</v>
      </c>
      <c r="N17" s="1" t="s">
        <v>40</v>
      </c>
      <c r="P17" s="1"/>
      <c r="Q17" s="5"/>
      <c r="R17" s="1"/>
      <c r="S17" s="5"/>
      <c r="T17" s="1"/>
      <c r="U17" s="5"/>
      <c r="V17" s="1"/>
      <c r="W17" s="5"/>
      <c r="X17" s="1"/>
      <c r="Y17" s="5"/>
      <c r="Z17" s="1"/>
      <c r="AA17" s="5"/>
      <c r="AB17" s="1"/>
    </row>
    <row r="18" spans="2:28" ht="4" customHeight="1">
      <c r="B18" s="1" t="s">
        <v>35</v>
      </c>
      <c r="D18" s="1" t="s">
        <v>35</v>
      </c>
      <c r="F18" s="1" t="s">
        <v>35</v>
      </c>
      <c r="H18" s="1" t="s">
        <v>35</v>
      </c>
      <c r="J18" s="1" t="s">
        <v>35</v>
      </c>
      <c r="L18" s="1" t="s">
        <v>35</v>
      </c>
      <c r="N18" s="1" t="s">
        <v>35</v>
      </c>
      <c r="P18" s="1"/>
      <c r="Q18" s="5"/>
      <c r="R18" s="1"/>
      <c r="S18" s="5"/>
      <c r="T18" s="1"/>
      <c r="U18" s="5"/>
      <c r="V18" s="1"/>
      <c r="W18" s="5"/>
      <c r="X18" s="1"/>
      <c r="Y18" s="5"/>
      <c r="Z18" s="1"/>
      <c r="AA18" s="5"/>
      <c r="AB18" s="1"/>
    </row>
    <row r="19" spans="2:28" ht="4" customHeight="1">
      <c r="B19" s="2" t="s">
        <v>41</v>
      </c>
      <c r="D19" s="2" t="s">
        <v>41</v>
      </c>
      <c r="F19" s="2" t="s">
        <v>41</v>
      </c>
      <c r="H19" s="2" t="s">
        <v>41</v>
      </c>
      <c r="J19" s="2" t="s">
        <v>41</v>
      </c>
      <c r="L19" s="2" t="s">
        <v>41</v>
      </c>
      <c r="N19" s="2" t="s">
        <v>41</v>
      </c>
      <c r="P19" s="4"/>
      <c r="Q19" s="5"/>
      <c r="R19" s="4"/>
      <c r="S19" s="5"/>
      <c r="T19" s="4"/>
      <c r="U19" s="5"/>
      <c r="V19" s="4"/>
      <c r="W19" s="5"/>
      <c r="X19" s="4"/>
      <c r="Y19" s="5"/>
      <c r="Z19" s="4"/>
      <c r="AA19" s="5"/>
      <c r="AB19" s="4"/>
    </row>
    <row r="20" spans="2:28" ht="4" customHeight="1">
      <c r="B20" s="2" t="s">
        <v>42</v>
      </c>
      <c r="D20" s="2" t="s">
        <v>42</v>
      </c>
      <c r="F20" s="2" t="s">
        <v>42</v>
      </c>
      <c r="H20" s="2" t="s">
        <v>42</v>
      </c>
      <c r="J20" s="2" t="s">
        <v>42</v>
      </c>
      <c r="L20" s="2" t="s">
        <v>42</v>
      </c>
      <c r="N20" s="2" t="s">
        <v>42</v>
      </c>
      <c r="P20" s="2"/>
      <c r="Q20" s="5"/>
      <c r="R20" s="2"/>
      <c r="S20" s="5"/>
      <c r="T20" s="2"/>
      <c r="U20" s="5"/>
      <c r="V20" s="2"/>
      <c r="W20" s="5"/>
      <c r="X20" s="2"/>
      <c r="Y20" s="5"/>
      <c r="Z20" s="2"/>
      <c r="AA20" s="5"/>
      <c r="AB20" s="2"/>
    </row>
    <row r="21" spans="2:28" ht="3" customHeight="1">
      <c r="B21" s="2" t="s">
        <v>43</v>
      </c>
      <c r="D21" s="2" t="s">
        <v>43</v>
      </c>
      <c r="F21" s="2" t="s">
        <v>43</v>
      </c>
      <c r="H21" s="2" t="s">
        <v>43</v>
      </c>
      <c r="J21" s="2" t="s">
        <v>43</v>
      </c>
      <c r="L21" s="2" t="s">
        <v>43</v>
      </c>
      <c r="N21" s="2" t="s">
        <v>43</v>
      </c>
      <c r="P21" s="2"/>
      <c r="Q21" s="5"/>
      <c r="R21" s="2"/>
      <c r="S21" s="5"/>
      <c r="T21" s="2"/>
      <c r="U21" s="5"/>
      <c r="V21" s="2"/>
      <c r="W21" s="5"/>
      <c r="X21" s="2"/>
      <c r="Y21" s="5"/>
      <c r="Z21" s="2"/>
      <c r="AA21" s="5"/>
      <c r="AB21" s="2"/>
    </row>
    <row r="22" spans="2:28" ht="4" customHeight="1">
      <c r="B22" s="2" t="s">
        <v>15</v>
      </c>
      <c r="D22" s="2" t="s">
        <v>15</v>
      </c>
      <c r="F22" s="2" t="s">
        <v>15</v>
      </c>
      <c r="H22" s="2" t="s">
        <v>15</v>
      </c>
      <c r="J22" s="2" t="s">
        <v>15</v>
      </c>
      <c r="L22" s="2" t="s">
        <v>15</v>
      </c>
      <c r="N22" s="2" t="s">
        <v>15</v>
      </c>
      <c r="P22" s="2"/>
      <c r="Q22" s="5"/>
      <c r="R22" s="2"/>
      <c r="S22" s="5"/>
      <c r="T22" s="2"/>
      <c r="U22" s="5"/>
      <c r="V22" s="2"/>
      <c r="W22" s="5"/>
      <c r="X22" s="2"/>
      <c r="Y22" s="5"/>
      <c r="Z22" s="2"/>
      <c r="AA22" s="5"/>
      <c r="AB22" s="2"/>
    </row>
    <row r="23" spans="2:28" ht="4" customHeight="1">
      <c r="B23" s="2" t="s">
        <v>44</v>
      </c>
      <c r="D23" s="2" t="s">
        <v>44</v>
      </c>
      <c r="F23" s="2" t="s">
        <v>44</v>
      </c>
      <c r="H23" s="2" t="s">
        <v>44</v>
      </c>
      <c r="J23" s="2" t="s">
        <v>44</v>
      </c>
      <c r="L23" s="2" t="s">
        <v>44</v>
      </c>
      <c r="N23" s="2" t="s">
        <v>44</v>
      </c>
      <c r="P23" s="2"/>
      <c r="Q23" s="5"/>
      <c r="R23" s="2"/>
      <c r="S23" s="5"/>
      <c r="T23" s="2"/>
      <c r="U23" s="5"/>
      <c r="V23" s="2"/>
      <c r="W23" s="5"/>
      <c r="X23" s="2"/>
      <c r="Y23" s="5"/>
      <c r="Z23" s="2"/>
      <c r="AA23" s="5"/>
      <c r="AB23" s="2"/>
    </row>
    <row r="24" spans="2:28" ht="1" customHeight="1">
      <c r="B24" s="1"/>
      <c r="D24" s="1"/>
      <c r="F24" s="1"/>
      <c r="H24" s="1"/>
      <c r="J24" s="1"/>
      <c r="L24" s="1"/>
      <c r="N24" s="1"/>
      <c r="P24" s="1"/>
      <c r="Q24" s="5"/>
      <c r="R24" s="1"/>
      <c r="S24" s="5"/>
      <c r="T24" s="1"/>
      <c r="U24" s="5"/>
      <c r="V24" s="1"/>
      <c r="W24" s="5"/>
      <c r="X24" s="1"/>
      <c r="Y24" s="5"/>
      <c r="Z24" s="1"/>
      <c r="AA24" s="5"/>
      <c r="AB24" s="1"/>
    </row>
    <row r="25" spans="2:28" ht="4" customHeight="1">
      <c r="B25" s="1" t="s">
        <v>40</v>
      </c>
      <c r="D25" s="1" t="s">
        <v>40</v>
      </c>
      <c r="F25" s="1" t="s">
        <v>40</v>
      </c>
      <c r="H25" s="1" t="s">
        <v>40</v>
      </c>
      <c r="J25" s="1" t="s">
        <v>40</v>
      </c>
      <c r="L25" s="1" t="s">
        <v>40</v>
      </c>
      <c r="N25" s="1" t="s">
        <v>40</v>
      </c>
      <c r="P25" s="1"/>
      <c r="Q25" s="5"/>
      <c r="R25" s="1"/>
      <c r="S25" s="5"/>
      <c r="T25" s="1"/>
      <c r="U25" s="5"/>
      <c r="V25" s="1"/>
      <c r="W25" s="5"/>
      <c r="X25" s="1"/>
      <c r="Y25" s="5"/>
      <c r="Z25" s="1"/>
      <c r="AA25" s="5"/>
      <c r="AB25" s="1"/>
    </row>
    <row r="26" spans="2:28" ht="4" customHeight="1">
      <c r="B26" s="1" t="s">
        <v>35</v>
      </c>
      <c r="D26" s="1" t="s">
        <v>35</v>
      </c>
      <c r="F26" s="1" t="s">
        <v>35</v>
      </c>
      <c r="H26" s="1" t="s">
        <v>35</v>
      </c>
      <c r="J26" s="1" t="s">
        <v>35</v>
      </c>
      <c r="L26" s="1" t="s">
        <v>35</v>
      </c>
      <c r="N26" s="1" t="s">
        <v>35</v>
      </c>
      <c r="P26" s="1"/>
      <c r="Q26" s="5"/>
      <c r="R26" s="1"/>
      <c r="S26" s="5"/>
      <c r="T26" s="1"/>
      <c r="U26" s="5"/>
      <c r="V26" s="1"/>
      <c r="W26" s="5"/>
      <c r="X26" s="1"/>
      <c r="Y26" s="5"/>
      <c r="Z26" s="1"/>
      <c r="AA26" s="5"/>
      <c r="AB26" s="1"/>
    </row>
    <row r="27" spans="2:28" ht="4" customHeight="1">
      <c r="B27" s="9" t="s">
        <v>41</v>
      </c>
      <c r="D27" s="9" t="s">
        <v>41</v>
      </c>
      <c r="F27" s="9" t="s">
        <v>41</v>
      </c>
      <c r="H27" s="9" t="s">
        <v>41</v>
      </c>
      <c r="J27" s="9" t="s">
        <v>41</v>
      </c>
      <c r="L27" s="9" t="s">
        <v>41</v>
      </c>
      <c r="N27" s="9" t="s">
        <v>41</v>
      </c>
      <c r="P27" s="4"/>
      <c r="Q27" s="5"/>
      <c r="R27" s="4"/>
      <c r="S27" s="5"/>
      <c r="T27" s="4"/>
      <c r="U27" s="5"/>
      <c r="V27" s="4"/>
      <c r="W27" s="5"/>
      <c r="X27" s="4"/>
      <c r="Y27" s="5"/>
      <c r="Z27" s="4"/>
      <c r="AA27" s="5"/>
      <c r="AB27" s="4"/>
    </row>
    <row r="28" spans="2:28" ht="4" customHeight="1">
      <c r="B28" s="2" t="s">
        <v>42</v>
      </c>
      <c r="D28" s="2" t="s">
        <v>42</v>
      </c>
      <c r="F28" s="2" t="s">
        <v>42</v>
      </c>
      <c r="H28" s="2" t="s">
        <v>42</v>
      </c>
      <c r="J28" s="2" t="s">
        <v>42</v>
      </c>
      <c r="L28" s="2" t="s">
        <v>42</v>
      </c>
      <c r="N28" s="2" t="s">
        <v>42</v>
      </c>
      <c r="P28" s="2"/>
      <c r="Q28" s="5"/>
      <c r="R28" s="2"/>
      <c r="S28" s="5"/>
      <c r="T28" s="2"/>
      <c r="U28" s="5"/>
      <c r="V28" s="2"/>
      <c r="W28" s="5"/>
      <c r="X28" s="2"/>
      <c r="Y28" s="5"/>
      <c r="Z28" s="2"/>
      <c r="AA28" s="5"/>
      <c r="AB28" s="2"/>
    </row>
    <row r="29" spans="2:28" ht="3" customHeight="1">
      <c r="B29" s="2" t="s">
        <v>43</v>
      </c>
      <c r="D29" s="2" t="s">
        <v>43</v>
      </c>
      <c r="F29" s="2" t="s">
        <v>43</v>
      </c>
      <c r="H29" s="2" t="s">
        <v>43</v>
      </c>
      <c r="J29" s="2" t="s">
        <v>43</v>
      </c>
      <c r="L29" s="2" t="s">
        <v>43</v>
      </c>
      <c r="N29" s="2" t="s">
        <v>43</v>
      </c>
      <c r="P29" s="2"/>
      <c r="Q29" s="5"/>
      <c r="R29" s="2"/>
      <c r="S29" s="5"/>
      <c r="T29" s="2"/>
      <c r="U29" s="5"/>
      <c r="V29" s="2"/>
      <c r="W29" s="5"/>
      <c r="X29" s="2"/>
      <c r="Y29" s="5"/>
      <c r="Z29" s="2"/>
      <c r="AA29" s="5"/>
      <c r="AB29" s="2"/>
    </row>
    <row r="30" spans="2:28" ht="4" customHeight="1">
      <c r="B30" s="2" t="s">
        <v>15</v>
      </c>
      <c r="D30" s="2" t="s">
        <v>15</v>
      </c>
      <c r="F30" s="2" t="s">
        <v>15</v>
      </c>
      <c r="H30" s="2" t="s">
        <v>15</v>
      </c>
      <c r="J30" s="2" t="s">
        <v>15</v>
      </c>
      <c r="L30" s="2" t="s">
        <v>15</v>
      </c>
      <c r="N30" s="2" t="s">
        <v>15</v>
      </c>
      <c r="P30" s="2"/>
      <c r="Q30" s="5"/>
      <c r="R30" s="2"/>
      <c r="S30" s="5"/>
      <c r="T30" s="2"/>
      <c r="U30" s="5"/>
      <c r="V30" s="2"/>
      <c r="W30" s="5"/>
      <c r="X30" s="2"/>
      <c r="Y30" s="5"/>
      <c r="Z30" s="2"/>
      <c r="AA30" s="5"/>
      <c r="AB30" s="2"/>
    </row>
    <row r="31" spans="2:28" ht="4" customHeight="1">
      <c r="B31" s="2" t="s">
        <v>44</v>
      </c>
      <c r="D31" s="2" t="s">
        <v>44</v>
      </c>
      <c r="F31" s="2" t="s">
        <v>44</v>
      </c>
      <c r="H31" s="2" t="s">
        <v>44</v>
      </c>
      <c r="J31" s="2" t="s">
        <v>44</v>
      </c>
      <c r="L31" s="2" t="s">
        <v>44</v>
      </c>
      <c r="N31" s="2" t="s">
        <v>44</v>
      </c>
      <c r="P31" s="2"/>
      <c r="Q31" s="5"/>
      <c r="R31" s="2"/>
      <c r="S31" s="5"/>
      <c r="T31" s="2"/>
      <c r="U31" s="5"/>
      <c r="V31" s="2"/>
      <c r="W31" s="5"/>
      <c r="X31" s="2"/>
      <c r="Y31" s="5"/>
      <c r="Z31" s="2"/>
      <c r="AA31" s="5"/>
      <c r="AB31" s="2"/>
    </row>
    <row r="32" spans="2:28" ht="1" customHeight="1">
      <c r="B32" s="1"/>
      <c r="D32" s="1"/>
      <c r="F32" s="1"/>
      <c r="H32" s="1"/>
      <c r="J32" s="1"/>
      <c r="L32" s="1"/>
      <c r="N32" s="1"/>
      <c r="P32" s="1"/>
      <c r="Q32" s="5"/>
      <c r="R32" s="1"/>
      <c r="S32" s="5"/>
      <c r="T32" s="1"/>
      <c r="U32" s="5"/>
      <c r="V32" s="1"/>
      <c r="W32" s="5"/>
      <c r="X32" s="1"/>
      <c r="Y32" s="5"/>
      <c r="Z32" s="1"/>
      <c r="AA32" s="5"/>
      <c r="AB32" s="1"/>
    </row>
    <row r="33" spans="2:28" ht="4" customHeight="1">
      <c r="B33" s="1" t="s">
        <v>45</v>
      </c>
      <c r="D33" s="1" t="s">
        <v>45</v>
      </c>
      <c r="F33" s="1" t="s">
        <v>45</v>
      </c>
      <c r="H33" s="1" t="s">
        <v>45</v>
      </c>
      <c r="J33" s="1" t="s">
        <v>45</v>
      </c>
      <c r="L33" s="1" t="s">
        <v>45</v>
      </c>
      <c r="N33" s="1" t="s">
        <v>45</v>
      </c>
      <c r="P33" s="1"/>
      <c r="Q33" s="5"/>
      <c r="R33" s="1"/>
      <c r="S33" s="5"/>
      <c r="T33" s="1"/>
      <c r="U33" s="5"/>
      <c r="V33" s="1"/>
      <c r="W33" s="5"/>
      <c r="X33" s="1"/>
      <c r="Y33" s="5"/>
      <c r="Z33" s="1"/>
      <c r="AA33" s="5"/>
      <c r="AB33" s="1"/>
    </row>
    <row r="34" spans="2:28" ht="4" customHeight="1">
      <c r="B34" s="1" t="s">
        <v>17</v>
      </c>
      <c r="D34" s="1" t="s">
        <v>17</v>
      </c>
      <c r="F34" s="1" t="s">
        <v>17</v>
      </c>
      <c r="H34" s="1" t="s">
        <v>17</v>
      </c>
      <c r="J34" s="1" t="s">
        <v>17</v>
      </c>
      <c r="L34" s="1" t="s">
        <v>17</v>
      </c>
      <c r="N34" s="1" t="s">
        <v>17</v>
      </c>
      <c r="P34" s="1"/>
      <c r="Q34" s="5"/>
      <c r="R34" s="1"/>
      <c r="S34" s="5"/>
      <c r="T34" s="1"/>
      <c r="U34" s="5"/>
      <c r="V34" s="1"/>
      <c r="W34" s="5"/>
      <c r="X34" s="1"/>
      <c r="Y34" s="5"/>
      <c r="Z34" s="1"/>
      <c r="AA34" s="5"/>
      <c r="AB34" s="1"/>
    </row>
    <row r="35" spans="2:28" ht="4" customHeight="1">
      <c r="B35" s="9" t="s">
        <v>46</v>
      </c>
      <c r="D35" s="9" t="s">
        <v>46</v>
      </c>
      <c r="F35" s="9" t="s">
        <v>46</v>
      </c>
      <c r="H35" s="9" t="s">
        <v>46</v>
      </c>
      <c r="J35" s="9" t="s">
        <v>46</v>
      </c>
      <c r="L35" s="9" t="s">
        <v>46</v>
      </c>
      <c r="N35" s="9" t="s">
        <v>46</v>
      </c>
      <c r="P35" s="4"/>
      <c r="Q35" s="5"/>
      <c r="R35" s="4"/>
      <c r="S35" s="5"/>
      <c r="T35" s="4"/>
      <c r="U35" s="5"/>
      <c r="V35" s="4"/>
      <c r="W35" s="5"/>
      <c r="X35" s="4"/>
      <c r="Y35" s="5"/>
      <c r="Z35" s="4"/>
      <c r="AA35" s="5"/>
      <c r="AB35" s="4"/>
    </row>
    <row r="36" spans="2:28" ht="4" customHeight="1">
      <c r="B36" s="2" t="s">
        <v>47</v>
      </c>
      <c r="D36" s="2" t="s">
        <v>47</v>
      </c>
      <c r="F36" s="2" t="s">
        <v>47</v>
      </c>
      <c r="H36" s="2" t="s">
        <v>47</v>
      </c>
      <c r="J36" s="2" t="s">
        <v>47</v>
      </c>
      <c r="L36" s="2" t="s">
        <v>47</v>
      </c>
      <c r="N36" s="2" t="s">
        <v>47</v>
      </c>
      <c r="P36" s="2"/>
      <c r="Q36" s="5"/>
      <c r="R36" s="2"/>
      <c r="S36" s="5"/>
      <c r="T36" s="2"/>
      <c r="U36" s="5"/>
      <c r="V36" s="2"/>
      <c r="W36" s="5"/>
      <c r="X36" s="2"/>
      <c r="Y36" s="5"/>
      <c r="Z36" s="2"/>
      <c r="AA36" s="5"/>
      <c r="AB36" s="2"/>
    </row>
    <row r="37" spans="2:28" ht="3" customHeight="1">
      <c r="B37" s="2" t="s">
        <v>48</v>
      </c>
      <c r="D37" s="2" t="s">
        <v>48</v>
      </c>
      <c r="F37" s="2" t="s">
        <v>48</v>
      </c>
      <c r="H37" s="2" t="s">
        <v>48</v>
      </c>
      <c r="J37" s="2" t="s">
        <v>48</v>
      </c>
      <c r="L37" s="2" t="s">
        <v>48</v>
      </c>
      <c r="N37" s="2" t="s">
        <v>48</v>
      </c>
      <c r="P37" s="2"/>
      <c r="Q37" s="5"/>
      <c r="R37" s="2"/>
      <c r="S37" s="5"/>
      <c r="T37" s="2"/>
      <c r="U37" s="5"/>
      <c r="V37" s="2"/>
      <c r="W37" s="5"/>
      <c r="X37" s="2"/>
      <c r="Y37" s="5"/>
      <c r="Z37" s="2"/>
      <c r="AA37" s="5"/>
      <c r="AB37" s="2"/>
    </row>
    <row r="38" spans="2:28" ht="4" customHeight="1">
      <c r="B38" s="2" t="s">
        <v>15</v>
      </c>
      <c r="D38" s="2" t="s">
        <v>15</v>
      </c>
      <c r="F38" s="2" t="s">
        <v>15</v>
      </c>
      <c r="H38" s="2" t="s">
        <v>15</v>
      </c>
      <c r="J38" s="2" t="s">
        <v>15</v>
      </c>
      <c r="L38" s="2" t="s">
        <v>15</v>
      </c>
      <c r="N38" s="2" t="s">
        <v>15</v>
      </c>
      <c r="P38" s="2"/>
      <c r="Q38" s="5"/>
      <c r="R38" s="2"/>
      <c r="S38" s="5"/>
      <c r="T38" s="2"/>
      <c r="U38" s="5"/>
      <c r="V38" s="2"/>
      <c r="W38" s="5"/>
      <c r="X38" s="2"/>
      <c r="Y38" s="5"/>
      <c r="Z38" s="2"/>
      <c r="AA38" s="5"/>
      <c r="AB38" s="2"/>
    </row>
    <row r="39" spans="2:28" ht="4" customHeight="1">
      <c r="B39" s="2" t="s">
        <v>49</v>
      </c>
      <c r="D39" s="2" t="s">
        <v>49</v>
      </c>
      <c r="F39" s="2" t="s">
        <v>49</v>
      </c>
      <c r="H39" s="2" t="s">
        <v>49</v>
      </c>
      <c r="J39" s="2" t="s">
        <v>49</v>
      </c>
      <c r="L39" s="2" t="s">
        <v>49</v>
      </c>
      <c r="N39" s="2" t="s">
        <v>49</v>
      </c>
      <c r="P39" s="2"/>
      <c r="Q39" s="5"/>
      <c r="R39" s="2"/>
      <c r="S39" s="5"/>
      <c r="T39" s="2"/>
      <c r="U39" s="5"/>
      <c r="V39" s="2"/>
      <c r="W39" s="5"/>
      <c r="X39" s="2"/>
      <c r="Y39" s="5"/>
      <c r="Z39" s="2"/>
      <c r="AA39" s="5"/>
      <c r="AB39" s="2"/>
    </row>
    <row r="40" spans="2:28" ht="1" customHeight="1">
      <c r="B40" s="1"/>
      <c r="D40" s="1"/>
      <c r="F40" s="1"/>
      <c r="H40" s="1"/>
      <c r="J40" s="1"/>
      <c r="L40" s="1"/>
      <c r="N40" s="1"/>
      <c r="P40" s="1"/>
      <c r="Q40" s="5"/>
      <c r="R40" s="1"/>
      <c r="S40" s="5"/>
      <c r="T40" s="1"/>
      <c r="U40" s="5"/>
      <c r="V40" s="1"/>
      <c r="W40" s="5"/>
      <c r="X40" s="1"/>
      <c r="Y40" s="5"/>
      <c r="Z40" s="1"/>
      <c r="AA40" s="5"/>
      <c r="AB40" s="1"/>
    </row>
    <row r="41" spans="2:28" ht="4" customHeight="1">
      <c r="B41" s="1" t="s">
        <v>50</v>
      </c>
      <c r="D41" s="1" t="s">
        <v>50</v>
      </c>
      <c r="F41" s="1" t="s">
        <v>50</v>
      </c>
      <c r="H41" s="1" t="s">
        <v>50</v>
      </c>
      <c r="J41" s="1" t="s">
        <v>50</v>
      </c>
      <c r="L41" s="1" t="s">
        <v>50</v>
      </c>
      <c r="N41" s="1" t="s">
        <v>50</v>
      </c>
      <c r="P41" s="1"/>
      <c r="Q41" s="5"/>
      <c r="R41" s="1"/>
      <c r="S41" s="5"/>
      <c r="T41" s="1"/>
      <c r="U41" s="5"/>
      <c r="V41" s="1"/>
      <c r="W41" s="5"/>
      <c r="X41" s="1"/>
      <c r="Y41" s="5"/>
      <c r="Z41" s="1"/>
      <c r="AA41" s="5"/>
      <c r="AB41" s="1"/>
    </row>
    <row r="42" spans="2:28" ht="4" customHeight="1">
      <c r="B42" s="1" t="s">
        <v>51</v>
      </c>
      <c r="D42" s="1" t="s">
        <v>51</v>
      </c>
      <c r="F42" s="1" t="s">
        <v>51</v>
      </c>
      <c r="H42" s="1" t="s">
        <v>51</v>
      </c>
      <c r="J42" s="1" t="s">
        <v>51</v>
      </c>
      <c r="L42" s="1" t="s">
        <v>51</v>
      </c>
      <c r="N42" s="1" t="s">
        <v>51</v>
      </c>
      <c r="P42" s="1"/>
      <c r="Q42" s="5"/>
      <c r="R42" s="1"/>
      <c r="S42" s="5"/>
      <c r="T42" s="1"/>
      <c r="U42" s="5"/>
      <c r="V42" s="1"/>
      <c r="W42" s="5"/>
      <c r="X42" s="1"/>
      <c r="Y42" s="5"/>
      <c r="Z42" s="1"/>
      <c r="AA42" s="5"/>
      <c r="AB42" s="1"/>
    </row>
    <row r="43" spans="2:28" ht="4" customHeight="1">
      <c r="B43" s="9" t="s">
        <v>52</v>
      </c>
      <c r="D43" s="9" t="s">
        <v>52</v>
      </c>
      <c r="F43" s="9" t="s">
        <v>52</v>
      </c>
      <c r="H43" s="9" t="s">
        <v>52</v>
      </c>
      <c r="J43" s="9" t="s">
        <v>52</v>
      </c>
      <c r="L43" s="9" t="s">
        <v>52</v>
      </c>
      <c r="N43" s="9" t="s">
        <v>52</v>
      </c>
      <c r="P43" s="4"/>
      <c r="Q43" s="5"/>
      <c r="R43" s="4"/>
      <c r="S43" s="5"/>
      <c r="T43" s="4"/>
      <c r="U43" s="5"/>
      <c r="V43" s="4"/>
      <c r="W43" s="5"/>
      <c r="X43" s="4"/>
      <c r="Y43" s="5"/>
      <c r="Z43" s="4"/>
      <c r="AA43" s="5"/>
      <c r="AB43" s="4"/>
    </row>
    <row r="44" spans="2:28" ht="4" customHeight="1">
      <c r="B44" s="2" t="s">
        <v>53</v>
      </c>
      <c r="D44" s="2" t="s">
        <v>53</v>
      </c>
      <c r="F44" s="2" t="s">
        <v>53</v>
      </c>
      <c r="H44" s="2" t="s">
        <v>53</v>
      </c>
      <c r="J44" s="2" t="s">
        <v>53</v>
      </c>
      <c r="L44" s="2" t="s">
        <v>53</v>
      </c>
      <c r="N44" s="2" t="s">
        <v>53</v>
      </c>
      <c r="P44" s="2"/>
      <c r="Q44" s="5"/>
      <c r="R44" s="2"/>
      <c r="S44" s="5"/>
      <c r="T44" s="2"/>
      <c r="U44" s="5"/>
      <c r="V44" s="2"/>
      <c r="W44" s="5"/>
      <c r="X44" s="2"/>
      <c r="Y44" s="5"/>
      <c r="Z44" s="2"/>
      <c r="AA44" s="5"/>
      <c r="AB44" s="2"/>
    </row>
    <row r="45" spans="2:28" ht="3" customHeight="1">
      <c r="B45" s="2" t="s">
        <v>54</v>
      </c>
      <c r="D45" s="2" t="s">
        <v>54</v>
      </c>
      <c r="F45" s="2" t="s">
        <v>54</v>
      </c>
      <c r="H45" s="2" t="s">
        <v>54</v>
      </c>
      <c r="J45" s="2" t="s">
        <v>54</v>
      </c>
      <c r="L45" s="2" t="s">
        <v>54</v>
      </c>
      <c r="N45" s="2" t="s">
        <v>54</v>
      </c>
      <c r="P45" s="2"/>
      <c r="Q45" s="5"/>
      <c r="R45" s="2"/>
      <c r="S45" s="5"/>
      <c r="T45" s="2"/>
      <c r="U45" s="5"/>
      <c r="V45" s="2"/>
      <c r="W45" s="5"/>
      <c r="X45" s="2"/>
      <c r="Y45" s="5"/>
      <c r="Z45" s="2"/>
      <c r="AA45" s="5"/>
      <c r="AB45" s="2"/>
    </row>
    <row r="46" spans="2:28" ht="4" customHeight="1">
      <c r="B46" s="2" t="s">
        <v>15</v>
      </c>
      <c r="D46" s="2" t="s">
        <v>15</v>
      </c>
      <c r="F46" s="2" t="s">
        <v>15</v>
      </c>
      <c r="H46" s="2" t="s">
        <v>15</v>
      </c>
      <c r="J46" s="2" t="s">
        <v>15</v>
      </c>
      <c r="L46" s="2" t="s">
        <v>15</v>
      </c>
      <c r="N46" s="2" t="s">
        <v>15</v>
      </c>
      <c r="P46" s="2"/>
      <c r="Q46" s="5"/>
      <c r="R46" s="2"/>
      <c r="S46" s="5"/>
      <c r="T46" s="2"/>
      <c r="U46" s="5"/>
      <c r="V46" s="2"/>
      <c r="W46" s="5"/>
      <c r="X46" s="2"/>
      <c r="Y46" s="5"/>
      <c r="Z46" s="2"/>
      <c r="AA46" s="5"/>
      <c r="AB46" s="2"/>
    </row>
    <row r="47" spans="2:28" ht="4" customHeight="1">
      <c r="B47" s="2" t="s">
        <v>55</v>
      </c>
      <c r="D47" s="2" t="s">
        <v>55</v>
      </c>
      <c r="F47" s="2" t="s">
        <v>55</v>
      </c>
      <c r="H47" s="2" t="s">
        <v>55</v>
      </c>
      <c r="J47" s="2" t="s">
        <v>55</v>
      </c>
      <c r="L47" s="2" t="s">
        <v>55</v>
      </c>
      <c r="N47" s="2" t="s">
        <v>55</v>
      </c>
      <c r="P47" s="2"/>
      <c r="Q47" s="5"/>
      <c r="R47" s="2"/>
      <c r="S47" s="5"/>
      <c r="T47" s="2"/>
      <c r="U47" s="5"/>
      <c r="V47" s="2"/>
      <c r="W47" s="5"/>
      <c r="X47" s="2"/>
      <c r="Y47" s="5"/>
      <c r="Z47" s="2"/>
      <c r="AA47" s="5"/>
      <c r="AB47" s="2"/>
    </row>
    <row r="48" spans="2:28" ht="1" customHeight="1">
      <c r="B48" s="1"/>
      <c r="D48" s="1"/>
      <c r="F48" s="1"/>
      <c r="H48" s="1"/>
      <c r="J48" s="1"/>
      <c r="L48" s="1"/>
      <c r="N48" s="1"/>
      <c r="P48" s="1"/>
      <c r="Q48" s="5"/>
      <c r="R48" s="1"/>
      <c r="S48" s="5"/>
      <c r="T48" s="1"/>
      <c r="U48" s="5"/>
      <c r="V48" s="1"/>
      <c r="W48" s="5"/>
      <c r="X48" s="1"/>
      <c r="Y48" s="5"/>
      <c r="Z48" s="1"/>
      <c r="AA48" s="5"/>
      <c r="AB48" s="1"/>
    </row>
    <row r="49" spans="2:28" ht="4" customHeight="1">
      <c r="B49" s="1" t="s">
        <v>56</v>
      </c>
      <c r="D49" s="1" t="s">
        <v>56</v>
      </c>
      <c r="F49" s="1" t="s">
        <v>56</v>
      </c>
      <c r="H49" s="1" t="s">
        <v>56</v>
      </c>
      <c r="J49" s="1" t="s">
        <v>56</v>
      </c>
      <c r="L49" s="1" t="s">
        <v>56</v>
      </c>
      <c r="N49" s="1" t="s">
        <v>56</v>
      </c>
      <c r="P49" s="1"/>
      <c r="Q49" s="5"/>
      <c r="R49" s="1"/>
      <c r="S49" s="5"/>
      <c r="T49" s="1"/>
      <c r="U49" s="5"/>
      <c r="V49" s="1"/>
      <c r="W49" s="5"/>
      <c r="X49" s="1"/>
      <c r="Y49" s="5"/>
      <c r="Z49" s="1"/>
      <c r="AA49" s="5"/>
      <c r="AB49" s="1"/>
    </row>
    <row r="50" spans="2:28" ht="4" customHeight="1">
      <c r="B50" s="1" t="s">
        <v>17</v>
      </c>
      <c r="D50" s="1" t="s">
        <v>17</v>
      </c>
      <c r="F50" s="1" t="s">
        <v>17</v>
      </c>
      <c r="H50" s="1" t="s">
        <v>17</v>
      </c>
      <c r="J50" s="1" t="s">
        <v>17</v>
      </c>
      <c r="L50" s="1" t="s">
        <v>17</v>
      </c>
      <c r="N50" s="1" t="s">
        <v>17</v>
      </c>
      <c r="P50" s="1"/>
      <c r="Q50" s="5"/>
      <c r="R50" s="1"/>
      <c r="S50" s="5"/>
      <c r="T50" s="1"/>
      <c r="U50" s="5"/>
      <c r="V50" s="1"/>
      <c r="W50" s="5"/>
      <c r="X50" s="1"/>
      <c r="Y50" s="5"/>
      <c r="Z50" s="1"/>
      <c r="AA50" s="5"/>
      <c r="AB50" s="1"/>
    </row>
    <row r="51" spans="2:28" ht="4" customHeight="1">
      <c r="B51" s="9" t="s">
        <v>57</v>
      </c>
      <c r="D51" s="9" t="s">
        <v>57</v>
      </c>
      <c r="F51" s="9" t="s">
        <v>57</v>
      </c>
      <c r="H51" s="9" t="s">
        <v>57</v>
      </c>
      <c r="J51" s="9" t="s">
        <v>57</v>
      </c>
      <c r="L51" s="9" t="s">
        <v>57</v>
      </c>
      <c r="N51" s="9" t="s">
        <v>57</v>
      </c>
      <c r="P51" s="4"/>
      <c r="Q51" s="5"/>
      <c r="R51" s="4"/>
      <c r="S51" s="5"/>
      <c r="T51" s="4"/>
      <c r="U51" s="5"/>
      <c r="V51" s="4"/>
      <c r="W51" s="5"/>
      <c r="X51" s="4"/>
      <c r="Y51" s="5"/>
      <c r="Z51" s="4"/>
      <c r="AA51" s="5"/>
      <c r="AB51" s="4"/>
    </row>
    <row r="52" spans="2:28" ht="4" customHeight="1">
      <c r="B52" s="2" t="s">
        <v>58</v>
      </c>
      <c r="D52" s="2" t="s">
        <v>58</v>
      </c>
      <c r="F52" s="2" t="s">
        <v>58</v>
      </c>
      <c r="H52" s="2" t="s">
        <v>58</v>
      </c>
      <c r="J52" s="2" t="s">
        <v>58</v>
      </c>
      <c r="L52" s="2" t="s">
        <v>58</v>
      </c>
      <c r="N52" s="2" t="s">
        <v>58</v>
      </c>
      <c r="P52" s="2"/>
      <c r="Q52" s="5"/>
      <c r="R52" s="2"/>
      <c r="S52" s="5"/>
      <c r="T52" s="2"/>
      <c r="U52" s="5"/>
      <c r="V52" s="2"/>
      <c r="W52" s="5"/>
      <c r="X52" s="2"/>
      <c r="Y52" s="5"/>
      <c r="Z52" s="2"/>
      <c r="AA52" s="5"/>
      <c r="AB52" s="2"/>
    </row>
    <row r="53" spans="2:28" ht="3" customHeight="1">
      <c r="B53" s="2" t="s">
        <v>59</v>
      </c>
      <c r="D53" s="2" t="s">
        <v>59</v>
      </c>
      <c r="F53" s="2" t="s">
        <v>59</v>
      </c>
      <c r="H53" s="2" t="s">
        <v>59</v>
      </c>
      <c r="J53" s="2" t="s">
        <v>59</v>
      </c>
      <c r="L53" s="2" t="s">
        <v>59</v>
      </c>
      <c r="N53" s="2" t="s">
        <v>59</v>
      </c>
      <c r="P53" s="2"/>
      <c r="Q53" s="5"/>
      <c r="R53" s="2"/>
      <c r="S53" s="5"/>
      <c r="T53" s="2"/>
      <c r="U53" s="5"/>
      <c r="V53" s="2"/>
      <c r="W53" s="5"/>
      <c r="X53" s="2"/>
      <c r="Y53" s="5"/>
      <c r="Z53" s="2"/>
      <c r="AA53" s="5"/>
      <c r="AB53" s="2"/>
    </row>
    <row r="54" spans="2:28" ht="4" customHeight="1">
      <c r="B54" s="2" t="s">
        <v>15</v>
      </c>
      <c r="D54" s="2" t="s">
        <v>15</v>
      </c>
      <c r="F54" s="2" t="s">
        <v>15</v>
      </c>
      <c r="H54" s="2" t="s">
        <v>15</v>
      </c>
      <c r="J54" s="2" t="s">
        <v>15</v>
      </c>
      <c r="L54" s="2" t="s">
        <v>15</v>
      </c>
      <c r="N54" s="2" t="s">
        <v>15</v>
      </c>
      <c r="P54" s="2"/>
      <c r="Q54" s="5"/>
      <c r="R54" s="2"/>
      <c r="S54" s="5"/>
      <c r="T54" s="2"/>
      <c r="U54" s="5"/>
      <c r="V54" s="2"/>
      <c r="W54" s="5"/>
      <c r="X54" s="2"/>
      <c r="Y54" s="5"/>
      <c r="Z54" s="2"/>
      <c r="AA54" s="5"/>
      <c r="AB54" s="2"/>
    </row>
    <row r="55" spans="2:28" ht="4" customHeight="1">
      <c r="B55" s="2" t="s">
        <v>60</v>
      </c>
      <c r="D55" s="2" t="s">
        <v>60</v>
      </c>
      <c r="F55" s="2" t="s">
        <v>60</v>
      </c>
      <c r="H55" s="2" t="s">
        <v>60</v>
      </c>
      <c r="J55" s="2" t="s">
        <v>60</v>
      </c>
      <c r="L55" s="2" t="s">
        <v>60</v>
      </c>
      <c r="N55" s="2" t="s">
        <v>60</v>
      </c>
      <c r="P55" s="2"/>
      <c r="Q55" s="5"/>
      <c r="R55" s="2"/>
      <c r="S55" s="5"/>
      <c r="T55" s="2"/>
      <c r="U55" s="5"/>
      <c r="V55" s="2"/>
      <c r="W55" s="5"/>
      <c r="X55" s="2"/>
      <c r="Y55" s="5"/>
      <c r="Z55" s="2"/>
      <c r="AA55" s="5"/>
      <c r="AB55" s="2"/>
    </row>
    <row r="56" spans="2:28" ht="1" customHeight="1">
      <c r="B56" s="1"/>
      <c r="D56" s="1"/>
      <c r="F56" s="1"/>
      <c r="H56" s="1"/>
      <c r="J56" s="1"/>
      <c r="L56" s="1"/>
      <c r="N56" s="1"/>
      <c r="P56" s="1"/>
      <c r="Q56" s="5"/>
      <c r="R56" s="1"/>
      <c r="S56" s="5"/>
      <c r="T56" s="1"/>
      <c r="U56" s="5"/>
      <c r="V56" s="1"/>
      <c r="W56" s="5"/>
      <c r="X56" s="1"/>
      <c r="Y56" s="5"/>
      <c r="Z56" s="1"/>
      <c r="AA56" s="5"/>
      <c r="AB56" s="1"/>
    </row>
    <row r="57" spans="2:28" ht="4" customHeight="1">
      <c r="B57" s="1" t="s">
        <v>61</v>
      </c>
      <c r="D57" s="1" t="s">
        <v>61</v>
      </c>
      <c r="F57" s="1" t="s">
        <v>61</v>
      </c>
      <c r="H57" s="1" t="s">
        <v>61</v>
      </c>
      <c r="J57" s="1" t="s">
        <v>61</v>
      </c>
      <c r="L57" s="1" t="s">
        <v>61</v>
      </c>
      <c r="N57" s="1" t="s">
        <v>61</v>
      </c>
      <c r="P57" s="1"/>
      <c r="Q57" s="5"/>
      <c r="R57" s="1"/>
      <c r="S57" s="5"/>
      <c r="T57" s="1"/>
      <c r="U57" s="5"/>
      <c r="V57" s="1"/>
      <c r="W57" s="5"/>
      <c r="X57" s="1"/>
      <c r="Y57" s="5"/>
      <c r="Z57" s="1"/>
      <c r="AA57" s="5"/>
      <c r="AB57" s="1"/>
    </row>
    <row r="58" spans="2:28" ht="4" customHeight="1">
      <c r="B58" s="1" t="s">
        <v>62</v>
      </c>
      <c r="D58" s="1" t="s">
        <v>62</v>
      </c>
      <c r="F58" s="1" t="s">
        <v>62</v>
      </c>
      <c r="H58" s="1" t="s">
        <v>62</v>
      </c>
      <c r="J58" s="1" t="s">
        <v>62</v>
      </c>
      <c r="L58" s="1" t="s">
        <v>62</v>
      </c>
      <c r="N58" s="1" t="s">
        <v>62</v>
      </c>
      <c r="P58" s="1"/>
      <c r="Q58" s="5"/>
      <c r="R58" s="1"/>
      <c r="S58" s="5"/>
      <c r="T58" s="1"/>
      <c r="U58" s="5"/>
      <c r="V58" s="1"/>
      <c r="W58" s="5"/>
      <c r="X58" s="1"/>
      <c r="Y58" s="5"/>
      <c r="Z58" s="1"/>
      <c r="AA58" s="5"/>
      <c r="AB58" s="1"/>
    </row>
    <row r="59" spans="2:28" ht="4" customHeight="1">
      <c r="B59" s="10" t="s">
        <v>63</v>
      </c>
      <c r="D59" s="10" t="s">
        <v>63</v>
      </c>
      <c r="F59" s="10" t="s">
        <v>63</v>
      </c>
      <c r="H59" s="10" t="s">
        <v>63</v>
      </c>
      <c r="J59" s="10" t="s">
        <v>63</v>
      </c>
      <c r="L59" s="10" t="s">
        <v>63</v>
      </c>
      <c r="N59" s="10" t="s">
        <v>63</v>
      </c>
      <c r="P59" s="4"/>
      <c r="Q59" s="5"/>
      <c r="R59" s="4"/>
      <c r="S59" s="5"/>
      <c r="T59" s="4"/>
      <c r="U59" s="5"/>
      <c r="V59" s="4"/>
      <c r="W59" s="5"/>
      <c r="X59" s="4"/>
      <c r="Y59" s="5"/>
      <c r="Z59" s="4"/>
      <c r="AA59" s="5"/>
      <c r="AB59" s="4"/>
    </row>
    <row r="60" spans="2:28" ht="4" customHeight="1">
      <c r="B60" s="2" t="s">
        <v>64</v>
      </c>
      <c r="D60" s="2" t="s">
        <v>64</v>
      </c>
      <c r="F60" s="2" t="s">
        <v>64</v>
      </c>
      <c r="H60" s="2" t="s">
        <v>64</v>
      </c>
      <c r="J60" s="2" t="s">
        <v>64</v>
      </c>
      <c r="L60" s="2" t="s">
        <v>64</v>
      </c>
      <c r="N60" s="2" t="s">
        <v>64</v>
      </c>
      <c r="P60" s="2"/>
      <c r="Q60" s="5"/>
      <c r="R60" s="2"/>
      <c r="S60" s="5"/>
      <c r="T60" s="2"/>
      <c r="U60" s="5"/>
      <c r="V60" s="2"/>
      <c r="W60" s="5"/>
      <c r="X60" s="2"/>
      <c r="Y60" s="5"/>
      <c r="Z60" s="2"/>
      <c r="AA60" s="5"/>
      <c r="AB60" s="2"/>
    </row>
    <row r="61" spans="2:28" ht="3" customHeight="1">
      <c r="B61" s="2" t="s">
        <v>65</v>
      </c>
      <c r="D61" s="2" t="s">
        <v>65</v>
      </c>
      <c r="F61" s="2" t="s">
        <v>65</v>
      </c>
      <c r="H61" s="2" t="s">
        <v>65</v>
      </c>
      <c r="J61" s="2" t="s">
        <v>65</v>
      </c>
      <c r="L61" s="2" t="s">
        <v>65</v>
      </c>
      <c r="N61" s="2" t="s">
        <v>65</v>
      </c>
      <c r="P61" s="2"/>
      <c r="Q61" s="5"/>
      <c r="R61" s="2"/>
      <c r="S61" s="5"/>
      <c r="T61" s="2"/>
      <c r="U61" s="5"/>
      <c r="V61" s="2"/>
      <c r="W61" s="5"/>
      <c r="X61" s="2"/>
      <c r="Y61" s="5"/>
      <c r="Z61" s="2"/>
      <c r="AA61" s="5"/>
      <c r="AB61" s="2"/>
    </row>
    <row r="62" spans="2:28" ht="4" customHeight="1">
      <c r="B62" s="2" t="s">
        <v>15</v>
      </c>
      <c r="D62" s="2" t="s">
        <v>15</v>
      </c>
      <c r="F62" s="2" t="s">
        <v>15</v>
      </c>
      <c r="H62" s="2" t="s">
        <v>15</v>
      </c>
      <c r="J62" s="2" t="s">
        <v>15</v>
      </c>
      <c r="L62" s="2" t="s">
        <v>15</v>
      </c>
      <c r="N62" s="2" t="s">
        <v>15</v>
      </c>
      <c r="P62" s="2"/>
      <c r="Q62" s="5"/>
      <c r="R62" s="2"/>
      <c r="S62" s="5"/>
      <c r="T62" s="2"/>
      <c r="U62" s="5"/>
      <c r="V62" s="2"/>
      <c r="W62" s="5"/>
      <c r="X62" s="2"/>
      <c r="Y62" s="5"/>
      <c r="Z62" s="2"/>
      <c r="AA62" s="5"/>
      <c r="AB62" s="2"/>
    </row>
    <row r="63" spans="2:28" ht="4" customHeight="1">
      <c r="B63" s="2" t="s">
        <v>66</v>
      </c>
      <c r="D63" s="2" t="s">
        <v>66</v>
      </c>
      <c r="F63" s="2" t="s">
        <v>66</v>
      </c>
      <c r="H63" s="2" t="s">
        <v>66</v>
      </c>
      <c r="J63" s="2" t="s">
        <v>66</v>
      </c>
      <c r="L63" s="2" t="s">
        <v>66</v>
      </c>
      <c r="N63" s="2" t="s">
        <v>66</v>
      </c>
      <c r="P63" s="2"/>
      <c r="Q63" s="5"/>
      <c r="R63" s="2"/>
      <c r="S63" s="5"/>
      <c r="T63" s="2"/>
      <c r="U63" s="5"/>
      <c r="V63" s="2"/>
      <c r="W63" s="5"/>
      <c r="X63" s="2"/>
      <c r="Y63" s="5"/>
      <c r="Z63" s="2"/>
      <c r="AA63" s="5"/>
      <c r="AB63" s="2"/>
    </row>
    <row r="64" spans="2:28" ht="1" customHeight="1">
      <c r="B64" s="1"/>
      <c r="D64" s="1"/>
      <c r="F64" s="1"/>
      <c r="H64" s="1"/>
      <c r="J64" s="1"/>
      <c r="L64" s="1"/>
      <c r="N64" s="1"/>
      <c r="P64" s="1"/>
      <c r="Q64" s="5"/>
      <c r="R64" s="1"/>
      <c r="S64" s="5"/>
      <c r="T64" s="1"/>
      <c r="U64" s="5"/>
      <c r="V64" s="1"/>
      <c r="W64" s="5"/>
      <c r="X64" s="1"/>
      <c r="Y64" s="5"/>
      <c r="Z64" s="1"/>
      <c r="AA64" s="5"/>
      <c r="AB64" s="1"/>
    </row>
    <row r="65" spans="2:28" ht="4" customHeight="1">
      <c r="B65" s="1" t="s">
        <v>67</v>
      </c>
      <c r="D65" s="1" t="s">
        <v>67</v>
      </c>
      <c r="F65" s="1" t="s">
        <v>67</v>
      </c>
      <c r="H65" s="1" t="s">
        <v>67</v>
      </c>
      <c r="J65" s="1" t="s">
        <v>67</v>
      </c>
      <c r="L65" s="1" t="s">
        <v>67</v>
      </c>
      <c r="N65" s="1" t="s">
        <v>67</v>
      </c>
      <c r="P65" s="1"/>
      <c r="Q65" s="5"/>
      <c r="R65" s="1"/>
      <c r="S65" s="5"/>
      <c r="T65" s="1"/>
      <c r="U65" s="5"/>
      <c r="V65" s="1"/>
      <c r="W65" s="5"/>
      <c r="X65" s="1"/>
      <c r="Y65" s="5"/>
      <c r="Z65" s="1"/>
      <c r="AA65" s="5"/>
      <c r="AB65" s="1"/>
    </row>
    <row r="66" spans="2:28" ht="4" customHeight="1">
      <c r="B66" s="1" t="s">
        <v>68</v>
      </c>
      <c r="D66" s="1" t="s">
        <v>68</v>
      </c>
      <c r="F66" s="1" t="s">
        <v>68</v>
      </c>
      <c r="H66" s="1" t="s">
        <v>68</v>
      </c>
      <c r="J66" s="1" t="s">
        <v>68</v>
      </c>
      <c r="L66" s="1" t="s">
        <v>68</v>
      </c>
      <c r="N66" s="1" t="s">
        <v>68</v>
      </c>
      <c r="P66" s="1"/>
      <c r="Q66" s="5"/>
      <c r="R66" s="1"/>
      <c r="S66" s="5"/>
      <c r="T66" s="1"/>
      <c r="U66" s="5"/>
      <c r="V66" s="1"/>
      <c r="W66" s="5"/>
      <c r="X66" s="1"/>
      <c r="Y66" s="5"/>
      <c r="Z66" s="1"/>
      <c r="AA66" s="5"/>
      <c r="AB66" s="1"/>
    </row>
    <row r="67" spans="2:28" ht="4" customHeight="1">
      <c r="B67" s="2" t="s">
        <v>69</v>
      </c>
      <c r="D67" s="2" t="s">
        <v>69</v>
      </c>
      <c r="F67" s="2" t="s">
        <v>69</v>
      </c>
      <c r="H67" s="2" t="s">
        <v>69</v>
      </c>
      <c r="J67" s="2" t="s">
        <v>69</v>
      </c>
      <c r="L67" s="2" t="s">
        <v>69</v>
      </c>
      <c r="N67" s="2" t="s">
        <v>69</v>
      </c>
      <c r="P67" s="4"/>
      <c r="Q67" s="5"/>
      <c r="R67" s="4"/>
      <c r="S67" s="5"/>
      <c r="T67" s="4"/>
      <c r="U67" s="5"/>
      <c r="V67" s="4"/>
      <c r="W67" s="5"/>
      <c r="X67" s="4"/>
      <c r="Y67" s="5"/>
      <c r="Z67" s="4"/>
      <c r="AA67" s="5"/>
      <c r="AB67" s="4"/>
    </row>
    <row r="68" spans="2:28" ht="4" customHeight="1">
      <c r="B68" s="2" t="s">
        <v>70</v>
      </c>
      <c r="D68" s="2" t="s">
        <v>70</v>
      </c>
      <c r="F68" s="2" t="s">
        <v>70</v>
      </c>
      <c r="H68" s="2" t="s">
        <v>70</v>
      </c>
      <c r="J68" s="2" t="s">
        <v>70</v>
      </c>
      <c r="L68" s="2" t="s">
        <v>70</v>
      </c>
      <c r="N68" s="2" t="s">
        <v>70</v>
      </c>
      <c r="P68" s="2"/>
      <c r="Q68" s="5"/>
      <c r="R68" s="2"/>
      <c r="S68" s="5"/>
      <c r="T68" s="2"/>
      <c r="U68" s="5"/>
      <c r="V68" s="2"/>
      <c r="W68" s="5"/>
      <c r="X68" s="2"/>
      <c r="Y68" s="5"/>
      <c r="Z68" s="2"/>
      <c r="AA68" s="5"/>
      <c r="AB68" s="2"/>
    </row>
    <row r="69" spans="2:28" ht="3" customHeight="1">
      <c r="B69" s="2" t="s">
        <v>71</v>
      </c>
      <c r="D69" s="2" t="s">
        <v>71</v>
      </c>
      <c r="F69" s="2" t="s">
        <v>71</v>
      </c>
      <c r="H69" s="2" t="s">
        <v>71</v>
      </c>
      <c r="J69" s="2" t="s">
        <v>71</v>
      </c>
      <c r="L69" s="2" t="s">
        <v>71</v>
      </c>
      <c r="N69" s="2" t="s">
        <v>71</v>
      </c>
      <c r="P69" s="2"/>
      <c r="Q69" s="5"/>
      <c r="R69" s="2"/>
      <c r="S69" s="5"/>
      <c r="T69" s="2"/>
      <c r="U69" s="5"/>
      <c r="V69" s="2"/>
      <c r="W69" s="5"/>
      <c r="X69" s="2"/>
      <c r="Y69" s="5"/>
      <c r="Z69" s="2"/>
      <c r="AA69" s="5"/>
      <c r="AB69" s="2"/>
    </row>
    <row r="70" spans="2:28" ht="4" customHeight="1">
      <c r="B70" s="2" t="s">
        <v>15</v>
      </c>
      <c r="D70" s="2" t="s">
        <v>15</v>
      </c>
      <c r="F70" s="2" t="s">
        <v>15</v>
      </c>
      <c r="H70" s="2" t="s">
        <v>15</v>
      </c>
      <c r="J70" s="2" t="s">
        <v>15</v>
      </c>
      <c r="L70" s="2" t="s">
        <v>15</v>
      </c>
      <c r="N70" s="2" t="s">
        <v>15</v>
      </c>
      <c r="P70" s="2"/>
      <c r="Q70" s="5"/>
      <c r="R70" s="2"/>
      <c r="S70" s="5"/>
      <c r="T70" s="2"/>
      <c r="U70" s="5"/>
      <c r="V70" s="2"/>
      <c r="W70" s="5"/>
      <c r="X70" s="2"/>
      <c r="Y70" s="5"/>
      <c r="Z70" s="2"/>
      <c r="AA70" s="5"/>
      <c r="AB70" s="2"/>
    </row>
    <row r="71" spans="2:28" ht="4" customHeight="1">
      <c r="B71" s="2" t="s">
        <v>72</v>
      </c>
      <c r="D71" s="2" t="s">
        <v>72</v>
      </c>
      <c r="F71" s="2" t="s">
        <v>72</v>
      </c>
      <c r="H71" s="2" t="s">
        <v>72</v>
      </c>
      <c r="J71" s="2" t="s">
        <v>72</v>
      </c>
      <c r="L71" s="2" t="s">
        <v>72</v>
      </c>
      <c r="N71" s="2" t="s">
        <v>72</v>
      </c>
      <c r="P71" s="2"/>
      <c r="Q71" s="5"/>
      <c r="R71" s="2"/>
      <c r="S71" s="5"/>
      <c r="T71" s="2"/>
      <c r="U71" s="5"/>
      <c r="V71" s="2"/>
      <c r="W71" s="5"/>
      <c r="X71" s="2"/>
      <c r="Y71" s="5"/>
      <c r="Z71" s="2"/>
      <c r="AA71" s="5"/>
      <c r="AB71" s="2"/>
    </row>
    <row r="72" spans="2:28" ht="1" customHeight="1">
      <c r="B72" s="1"/>
      <c r="D72" s="1"/>
      <c r="F72" s="1"/>
      <c r="H72" s="1"/>
      <c r="J72" s="1"/>
      <c r="L72" s="1"/>
      <c r="N72" s="1"/>
      <c r="P72" s="1"/>
      <c r="Q72" s="5"/>
      <c r="R72" s="1"/>
      <c r="S72" s="5"/>
      <c r="T72" s="1"/>
      <c r="U72" s="5"/>
      <c r="V72" s="1"/>
      <c r="W72" s="5"/>
      <c r="X72" s="1"/>
      <c r="Y72" s="5"/>
      <c r="Z72" s="1"/>
      <c r="AA72" s="5"/>
      <c r="AB72" s="1"/>
    </row>
    <row r="73" spans="2:28" ht="4" customHeight="1">
      <c r="B73" s="1" t="s">
        <v>73</v>
      </c>
      <c r="D73" s="1" t="s">
        <v>73</v>
      </c>
      <c r="F73" s="1" t="s">
        <v>73</v>
      </c>
      <c r="H73" s="1" t="s">
        <v>73</v>
      </c>
      <c r="J73" s="1" t="s">
        <v>73</v>
      </c>
      <c r="L73" s="1" t="s">
        <v>73</v>
      </c>
      <c r="N73" s="1" t="s">
        <v>73</v>
      </c>
      <c r="P73" s="1"/>
      <c r="Q73" s="5"/>
      <c r="R73" s="1"/>
      <c r="S73" s="5"/>
      <c r="T73" s="1"/>
      <c r="U73" s="5"/>
      <c r="V73" s="1"/>
      <c r="W73" s="5"/>
      <c r="X73" s="1"/>
      <c r="Y73" s="5"/>
      <c r="Z73" s="1"/>
      <c r="AA73" s="5"/>
      <c r="AB73" s="1"/>
    </row>
    <row r="74" spans="2:28" ht="4" customHeight="1">
      <c r="B74" s="1" t="s">
        <v>74</v>
      </c>
      <c r="D74" s="1" t="s">
        <v>74</v>
      </c>
      <c r="F74" s="1" t="s">
        <v>74</v>
      </c>
      <c r="H74" s="1" t="s">
        <v>74</v>
      </c>
      <c r="J74" s="1" t="s">
        <v>74</v>
      </c>
      <c r="L74" s="1" t="s">
        <v>74</v>
      </c>
      <c r="N74" s="1" t="s">
        <v>74</v>
      </c>
      <c r="P74" s="1"/>
      <c r="Q74" s="5"/>
      <c r="R74" s="1"/>
      <c r="S74" s="5"/>
      <c r="T74" s="1"/>
      <c r="U74" s="5"/>
      <c r="V74" s="1"/>
      <c r="W74" s="5"/>
      <c r="X74" s="1"/>
      <c r="Y74" s="5"/>
      <c r="Z74" s="1"/>
      <c r="AA74" s="5"/>
      <c r="AB74" s="1"/>
    </row>
    <row r="75" spans="2:28" ht="4" customHeight="1">
      <c r="B75" s="9" t="s">
        <v>75</v>
      </c>
      <c r="D75" s="9" t="s">
        <v>75</v>
      </c>
      <c r="F75" s="9" t="s">
        <v>75</v>
      </c>
      <c r="H75" s="9" t="s">
        <v>75</v>
      </c>
      <c r="J75" s="9" t="s">
        <v>75</v>
      </c>
      <c r="L75" s="9" t="s">
        <v>75</v>
      </c>
      <c r="N75" s="9" t="s">
        <v>75</v>
      </c>
      <c r="P75" s="4"/>
      <c r="Q75" s="5"/>
      <c r="R75" s="4"/>
      <c r="S75" s="5"/>
      <c r="T75" s="4"/>
      <c r="U75" s="5"/>
      <c r="V75" s="4"/>
      <c r="W75" s="5"/>
      <c r="X75" s="4"/>
      <c r="Y75" s="5"/>
      <c r="Z75" s="4"/>
      <c r="AA75" s="5"/>
      <c r="AB75" s="4"/>
    </row>
    <row r="76" spans="2:28" ht="4" customHeight="1">
      <c r="B76" s="2" t="s">
        <v>76</v>
      </c>
      <c r="D76" s="2" t="s">
        <v>76</v>
      </c>
      <c r="F76" s="2" t="s">
        <v>76</v>
      </c>
      <c r="H76" s="2" t="s">
        <v>76</v>
      </c>
      <c r="J76" s="2" t="s">
        <v>76</v>
      </c>
      <c r="L76" s="2" t="s">
        <v>76</v>
      </c>
      <c r="N76" s="2" t="s">
        <v>76</v>
      </c>
      <c r="P76" s="2"/>
      <c r="Q76" s="5"/>
      <c r="R76" s="2"/>
      <c r="S76" s="5"/>
      <c r="T76" s="2"/>
      <c r="U76" s="5"/>
      <c r="V76" s="2"/>
      <c r="W76" s="5"/>
      <c r="X76" s="2"/>
      <c r="Y76" s="5"/>
      <c r="Z76" s="2"/>
      <c r="AA76" s="5"/>
      <c r="AB76" s="2"/>
    </row>
    <row r="77" spans="2:28" ht="3" customHeight="1">
      <c r="B77" s="2" t="s">
        <v>77</v>
      </c>
      <c r="D77" s="2" t="s">
        <v>77</v>
      </c>
      <c r="F77" s="2" t="s">
        <v>77</v>
      </c>
      <c r="H77" s="2" t="s">
        <v>77</v>
      </c>
      <c r="J77" s="2" t="s">
        <v>77</v>
      </c>
      <c r="L77" s="2" t="s">
        <v>77</v>
      </c>
      <c r="N77" s="2" t="s">
        <v>77</v>
      </c>
      <c r="P77" s="2"/>
      <c r="Q77" s="5"/>
      <c r="R77" s="2"/>
      <c r="S77" s="5"/>
      <c r="T77" s="2"/>
      <c r="U77" s="5"/>
      <c r="V77" s="2"/>
      <c r="W77" s="5"/>
      <c r="X77" s="2"/>
      <c r="Y77" s="5"/>
      <c r="Z77" s="2"/>
      <c r="AA77" s="5"/>
      <c r="AB77" s="2"/>
    </row>
    <row r="78" spans="2:28" ht="4" customHeight="1">
      <c r="B78" s="2" t="s">
        <v>15</v>
      </c>
      <c r="D78" s="2" t="s">
        <v>15</v>
      </c>
      <c r="F78" s="2" t="s">
        <v>15</v>
      </c>
      <c r="H78" s="2" t="s">
        <v>15</v>
      </c>
      <c r="J78" s="2" t="s">
        <v>15</v>
      </c>
      <c r="L78" s="2" t="s">
        <v>15</v>
      </c>
      <c r="N78" s="2" t="s">
        <v>15</v>
      </c>
      <c r="P78" s="2"/>
      <c r="Q78" s="5"/>
      <c r="R78" s="2"/>
      <c r="S78" s="5"/>
      <c r="T78" s="2"/>
      <c r="U78" s="5"/>
      <c r="V78" s="2"/>
      <c r="W78" s="5"/>
      <c r="X78" s="2"/>
      <c r="Y78" s="5"/>
      <c r="Z78" s="2"/>
      <c r="AA78" s="5"/>
      <c r="AB78" s="2"/>
    </row>
    <row r="79" spans="2:28" ht="4" customHeight="1">
      <c r="B79" s="2" t="s">
        <v>78</v>
      </c>
      <c r="D79" s="2" t="s">
        <v>78</v>
      </c>
      <c r="F79" s="2" t="s">
        <v>78</v>
      </c>
      <c r="H79" s="2" t="s">
        <v>78</v>
      </c>
      <c r="J79" s="2" t="s">
        <v>78</v>
      </c>
      <c r="L79" s="2" t="s">
        <v>78</v>
      </c>
      <c r="N79" s="2" t="s">
        <v>78</v>
      </c>
      <c r="P79" s="2"/>
      <c r="Q79" s="5"/>
      <c r="R79" s="2"/>
      <c r="S79" s="5"/>
      <c r="T79" s="2"/>
      <c r="U79" s="5"/>
      <c r="V79" s="2"/>
      <c r="W79" s="5"/>
      <c r="X79" s="2"/>
      <c r="Y79" s="5"/>
      <c r="Z79" s="2"/>
      <c r="AA79" s="5"/>
      <c r="AB79" s="2"/>
    </row>
    <row r="80" spans="2:28" ht="1" customHeight="1">
      <c r="B80" s="1"/>
      <c r="D80" s="1"/>
      <c r="F80" s="1"/>
      <c r="H80" s="1"/>
      <c r="J80" s="1"/>
      <c r="L80" s="1"/>
      <c r="N80" s="1"/>
      <c r="P80" s="1"/>
      <c r="Q80" s="5"/>
      <c r="R80" s="1"/>
      <c r="S80" s="5"/>
      <c r="T80" s="1"/>
      <c r="U80" s="5"/>
      <c r="V80" s="1"/>
      <c r="W80" s="5"/>
      <c r="X80" s="1"/>
      <c r="Y80" s="5"/>
      <c r="Z80" s="1"/>
      <c r="AA80" s="5"/>
      <c r="AB80" s="1"/>
    </row>
    <row r="81" spans="2:28" ht="4" customHeight="1">
      <c r="B81" s="1" t="s">
        <v>79</v>
      </c>
      <c r="D81" s="1" t="s">
        <v>79</v>
      </c>
      <c r="F81" s="1" t="s">
        <v>79</v>
      </c>
      <c r="H81" s="1" t="s">
        <v>79</v>
      </c>
      <c r="J81" s="1" t="s">
        <v>79</v>
      </c>
      <c r="L81" s="1" t="s">
        <v>79</v>
      </c>
      <c r="N81" s="1" t="s">
        <v>79</v>
      </c>
      <c r="P81" s="1"/>
      <c r="Q81" s="5"/>
      <c r="R81" s="1"/>
      <c r="S81" s="5"/>
      <c r="T81" s="1"/>
      <c r="U81" s="5"/>
      <c r="V81" s="1"/>
      <c r="W81" s="5"/>
      <c r="X81" s="1"/>
      <c r="Y81" s="5"/>
      <c r="Z81" s="1"/>
      <c r="AA81" s="5"/>
      <c r="AB81" s="1"/>
    </row>
    <row r="82" spans="2:28" ht="4" customHeight="1">
      <c r="B82" s="1" t="s">
        <v>80</v>
      </c>
      <c r="D82" s="1" t="s">
        <v>80</v>
      </c>
      <c r="F82" s="1" t="s">
        <v>80</v>
      </c>
      <c r="H82" s="1" t="s">
        <v>80</v>
      </c>
      <c r="J82" s="1" t="s">
        <v>80</v>
      </c>
      <c r="L82" s="1" t="s">
        <v>80</v>
      </c>
      <c r="N82" s="1" t="s">
        <v>80</v>
      </c>
      <c r="P82" s="1"/>
      <c r="Q82" s="5"/>
      <c r="R82" s="1"/>
      <c r="S82" s="5"/>
      <c r="T82" s="1"/>
      <c r="U82" s="5"/>
      <c r="V82" s="1"/>
      <c r="W82" s="5"/>
      <c r="X82" s="1"/>
      <c r="Y82" s="5"/>
      <c r="Z82" s="1"/>
      <c r="AA82" s="5"/>
      <c r="AB82" s="1"/>
    </row>
    <row r="83" spans="2:28" ht="4" customHeight="1">
      <c r="B83" s="9" t="s">
        <v>81</v>
      </c>
      <c r="D83" s="9" t="s">
        <v>81</v>
      </c>
      <c r="F83" s="9" t="s">
        <v>81</v>
      </c>
      <c r="H83" s="9" t="s">
        <v>81</v>
      </c>
      <c r="J83" s="9" t="s">
        <v>81</v>
      </c>
      <c r="L83" s="9" t="s">
        <v>81</v>
      </c>
      <c r="N83" s="9" t="s">
        <v>81</v>
      </c>
      <c r="P83" s="4"/>
      <c r="Q83" s="5"/>
      <c r="R83" s="4"/>
      <c r="S83" s="5"/>
      <c r="T83" s="4"/>
      <c r="U83" s="5"/>
      <c r="V83" s="4"/>
      <c r="W83" s="5"/>
      <c r="X83" s="4"/>
      <c r="Y83" s="5"/>
      <c r="Z83" s="4"/>
      <c r="AA83" s="5"/>
      <c r="AB83" s="4"/>
    </row>
    <row r="84" spans="2:28" ht="4" customHeight="1">
      <c r="B84" s="2" t="s">
        <v>82</v>
      </c>
      <c r="D84" s="2" t="s">
        <v>82</v>
      </c>
      <c r="F84" s="2" t="s">
        <v>82</v>
      </c>
      <c r="H84" s="2" t="s">
        <v>82</v>
      </c>
      <c r="J84" s="2" t="s">
        <v>82</v>
      </c>
      <c r="L84" s="2" t="s">
        <v>82</v>
      </c>
      <c r="N84" s="2" t="s">
        <v>82</v>
      </c>
      <c r="P84" s="2"/>
      <c r="Q84" s="5"/>
      <c r="R84" s="2"/>
      <c r="S84" s="5"/>
      <c r="T84" s="2"/>
      <c r="U84" s="5"/>
      <c r="V84" s="2"/>
      <c r="W84" s="5"/>
      <c r="X84" s="2"/>
      <c r="Y84" s="5"/>
      <c r="Z84" s="2"/>
      <c r="AA84" s="5"/>
      <c r="AB84" s="2"/>
    </row>
    <row r="85" spans="2:28" ht="3" customHeight="1">
      <c r="B85" s="2" t="s">
        <v>83</v>
      </c>
      <c r="D85" s="2" t="s">
        <v>83</v>
      </c>
      <c r="F85" s="2" t="s">
        <v>83</v>
      </c>
      <c r="H85" s="2" t="s">
        <v>83</v>
      </c>
      <c r="J85" s="2" t="s">
        <v>83</v>
      </c>
      <c r="L85" s="2" t="s">
        <v>83</v>
      </c>
      <c r="N85" s="2" t="s">
        <v>83</v>
      </c>
      <c r="P85" s="2"/>
      <c r="Q85" s="5"/>
      <c r="R85" s="2"/>
      <c r="S85" s="5"/>
      <c r="T85" s="2"/>
      <c r="U85" s="5"/>
      <c r="V85" s="2"/>
      <c r="W85" s="5"/>
      <c r="X85" s="2"/>
      <c r="Y85" s="5"/>
      <c r="Z85" s="2"/>
      <c r="AA85" s="5"/>
      <c r="AB85" s="2"/>
    </row>
    <row r="86" spans="2:28" ht="4" customHeight="1">
      <c r="B86" s="2" t="s">
        <v>106</v>
      </c>
      <c r="D86" s="2" t="s">
        <v>15</v>
      </c>
      <c r="F86" s="2" t="s">
        <v>15</v>
      </c>
      <c r="H86" s="2" t="s">
        <v>15</v>
      </c>
      <c r="J86" s="2" t="s">
        <v>15</v>
      </c>
      <c r="L86" s="2" t="s">
        <v>15</v>
      </c>
      <c r="N86" s="2" t="s">
        <v>15</v>
      </c>
      <c r="P86" s="2"/>
      <c r="Q86" s="5"/>
      <c r="R86" s="2"/>
      <c r="S86" s="5"/>
      <c r="T86" s="2"/>
      <c r="U86" s="5"/>
      <c r="V86" s="2"/>
      <c r="W86" s="5"/>
      <c r="X86" s="2"/>
      <c r="Y86" s="5"/>
      <c r="Z86" s="2"/>
      <c r="AA86" s="5"/>
      <c r="AB86" s="2"/>
    </row>
    <row r="87" spans="2:28" ht="4" customHeight="1">
      <c r="B87" s="2" t="s">
        <v>84</v>
      </c>
      <c r="D87" s="2" t="s">
        <v>84</v>
      </c>
      <c r="F87" s="2" t="s">
        <v>84</v>
      </c>
      <c r="H87" s="2" t="s">
        <v>84</v>
      </c>
      <c r="J87" s="2" t="s">
        <v>84</v>
      </c>
      <c r="L87" s="2" t="s">
        <v>84</v>
      </c>
      <c r="N87" s="2" t="s">
        <v>84</v>
      </c>
      <c r="P87" s="2"/>
      <c r="Q87" s="5"/>
      <c r="R87" s="2"/>
      <c r="S87" s="5"/>
      <c r="T87" s="2"/>
      <c r="U87" s="5"/>
      <c r="V87" s="2"/>
      <c r="W87" s="5"/>
      <c r="X87" s="2"/>
      <c r="Y87" s="5"/>
      <c r="Z87" s="2"/>
      <c r="AA87" s="5"/>
      <c r="AB87" s="2"/>
    </row>
    <row r="88" spans="2:28" ht="1" customHeight="1">
      <c r="B88" s="1"/>
      <c r="D88" s="1"/>
      <c r="F88" s="1"/>
      <c r="H88" s="1"/>
      <c r="J88" s="1"/>
      <c r="L88" s="1"/>
      <c r="N88" s="1"/>
      <c r="P88" s="1"/>
      <c r="Q88" s="5"/>
      <c r="R88" s="1"/>
      <c r="S88" s="5"/>
      <c r="T88" s="1"/>
      <c r="U88" s="5"/>
      <c r="V88" s="1"/>
      <c r="W88" s="5"/>
      <c r="X88" s="1"/>
      <c r="Y88" s="5"/>
      <c r="Z88" s="1"/>
      <c r="AA88" s="5"/>
      <c r="AB88" s="1"/>
    </row>
    <row r="89" spans="2:28" ht="4" customHeight="1">
      <c r="B89" s="1" t="s">
        <v>79</v>
      </c>
      <c r="D89" s="1" t="s">
        <v>79</v>
      </c>
      <c r="F89" s="1" t="s">
        <v>79</v>
      </c>
      <c r="H89" s="1" t="s">
        <v>79</v>
      </c>
      <c r="J89" s="1" t="s">
        <v>79</v>
      </c>
      <c r="L89" s="1" t="s">
        <v>79</v>
      </c>
      <c r="N89" s="1" t="s">
        <v>79</v>
      </c>
      <c r="P89" s="1"/>
      <c r="Q89" s="5"/>
      <c r="R89" s="1"/>
      <c r="S89" s="5"/>
      <c r="T89" s="1"/>
      <c r="U89" s="5"/>
      <c r="V89" s="1"/>
      <c r="W89" s="5"/>
      <c r="X89" s="1"/>
      <c r="Y89" s="5"/>
      <c r="Z89" s="1"/>
      <c r="AA89" s="5"/>
      <c r="AB89" s="1"/>
    </row>
    <row r="90" spans="2:28" ht="4" customHeight="1">
      <c r="B90" s="1" t="s">
        <v>80</v>
      </c>
      <c r="D90" s="1" t="s">
        <v>80</v>
      </c>
      <c r="F90" s="1" t="s">
        <v>80</v>
      </c>
      <c r="H90" s="1" t="s">
        <v>80</v>
      </c>
      <c r="J90" s="1" t="s">
        <v>80</v>
      </c>
      <c r="L90" s="1" t="s">
        <v>80</v>
      </c>
      <c r="N90" s="1" t="s">
        <v>80</v>
      </c>
      <c r="P90" s="1"/>
      <c r="Q90" s="5"/>
      <c r="R90" s="1"/>
      <c r="S90" s="5"/>
      <c r="T90" s="1"/>
      <c r="U90" s="5"/>
      <c r="V90" s="1"/>
      <c r="W90" s="5"/>
      <c r="X90" s="1"/>
      <c r="Y90" s="5"/>
      <c r="Z90" s="1"/>
      <c r="AA90" s="5"/>
      <c r="AB90" s="1"/>
    </row>
    <row r="91" spans="2:28" ht="4" customHeight="1">
      <c r="B91" s="9" t="s">
        <v>81</v>
      </c>
      <c r="D91" s="9" t="s">
        <v>81</v>
      </c>
      <c r="F91" s="9" t="s">
        <v>81</v>
      </c>
      <c r="H91" s="9" t="s">
        <v>81</v>
      </c>
      <c r="J91" s="9" t="s">
        <v>81</v>
      </c>
      <c r="L91" s="9" t="s">
        <v>81</v>
      </c>
      <c r="N91" s="9" t="s">
        <v>81</v>
      </c>
      <c r="P91" s="4"/>
      <c r="Q91" s="5"/>
      <c r="R91" s="4"/>
      <c r="S91" s="5"/>
      <c r="T91" s="4"/>
      <c r="U91" s="5"/>
      <c r="V91" s="4"/>
      <c r="W91" s="5"/>
      <c r="X91" s="4"/>
      <c r="Y91" s="5"/>
      <c r="Z91" s="4"/>
      <c r="AA91" s="5"/>
      <c r="AB91" s="4"/>
    </row>
    <row r="92" spans="2:28" ht="4" customHeight="1">
      <c r="B92" s="2" t="s">
        <v>82</v>
      </c>
      <c r="D92" s="2" t="s">
        <v>82</v>
      </c>
      <c r="F92" s="2" t="s">
        <v>82</v>
      </c>
      <c r="H92" s="2" t="s">
        <v>82</v>
      </c>
      <c r="J92" s="2" t="s">
        <v>82</v>
      </c>
      <c r="L92" s="2" t="s">
        <v>82</v>
      </c>
      <c r="N92" s="2" t="s">
        <v>82</v>
      </c>
      <c r="P92" s="2"/>
      <c r="Q92" s="5"/>
      <c r="R92" s="2"/>
      <c r="S92" s="5"/>
      <c r="T92" s="2"/>
      <c r="U92" s="5"/>
      <c r="V92" s="2"/>
      <c r="W92" s="5"/>
      <c r="X92" s="2"/>
      <c r="Y92" s="5"/>
      <c r="Z92" s="2"/>
      <c r="AA92" s="5"/>
      <c r="AB92" s="2"/>
    </row>
    <row r="93" spans="2:28" ht="3" customHeight="1">
      <c r="B93" s="2" t="s">
        <v>83</v>
      </c>
      <c r="D93" s="2" t="s">
        <v>83</v>
      </c>
      <c r="F93" s="2" t="s">
        <v>83</v>
      </c>
      <c r="H93" s="2" t="s">
        <v>83</v>
      </c>
      <c r="J93" s="2" t="s">
        <v>83</v>
      </c>
      <c r="L93" s="2" t="s">
        <v>83</v>
      </c>
      <c r="N93" s="2" t="s">
        <v>83</v>
      </c>
      <c r="P93" s="2"/>
      <c r="Q93" s="5"/>
      <c r="R93" s="2"/>
      <c r="S93" s="5"/>
      <c r="T93" s="2"/>
      <c r="U93" s="5"/>
      <c r="V93" s="2"/>
      <c r="W93" s="5"/>
      <c r="X93" s="2"/>
      <c r="Y93" s="5"/>
      <c r="Z93" s="2"/>
      <c r="AA93" s="5"/>
      <c r="AB93" s="2"/>
    </row>
    <row r="94" spans="2:28" ht="4" customHeight="1">
      <c r="B94" s="2" t="s">
        <v>15</v>
      </c>
      <c r="D94" s="2" t="s">
        <v>15</v>
      </c>
      <c r="F94" s="2" t="s">
        <v>15</v>
      </c>
      <c r="H94" s="2" t="s">
        <v>15</v>
      </c>
      <c r="J94" s="2" t="s">
        <v>15</v>
      </c>
      <c r="L94" s="2" t="s">
        <v>15</v>
      </c>
      <c r="N94" s="2" t="s">
        <v>15</v>
      </c>
      <c r="P94" s="2"/>
      <c r="Q94" s="5"/>
      <c r="R94" s="2"/>
      <c r="S94" s="5"/>
      <c r="T94" s="2"/>
      <c r="U94" s="5"/>
      <c r="V94" s="2"/>
      <c r="W94" s="5"/>
      <c r="X94" s="2"/>
      <c r="Y94" s="5"/>
      <c r="Z94" s="2"/>
      <c r="AA94" s="5"/>
      <c r="AB94" s="2"/>
    </row>
    <row r="95" spans="2:28" ht="4" customHeight="1">
      <c r="B95" s="2" t="s">
        <v>84</v>
      </c>
      <c r="D95" s="2" t="s">
        <v>84</v>
      </c>
      <c r="F95" s="2" t="s">
        <v>84</v>
      </c>
      <c r="H95" s="2" t="s">
        <v>84</v>
      </c>
      <c r="J95" s="2" t="s">
        <v>84</v>
      </c>
      <c r="L95" s="2" t="s">
        <v>84</v>
      </c>
      <c r="N95" s="2" t="s">
        <v>84</v>
      </c>
      <c r="P95" s="2"/>
      <c r="Q95" s="5"/>
      <c r="R95" s="2"/>
      <c r="S95" s="5"/>
      <c r="T95" s="2"/>
      <c r="U95" s="5"/>
      <c r="V95" s="2"/>
      <c r="W95" s="5"/>
      <c r="X95" s="2"/>
      <c r="Y95" s="5"/>
      <c r="Z95" s="2"/>
      <c r="AA95" s="5"/>
      <c r="AB95" s="2"/>
    </row>
    <row r="96" spans="2:28" ht="1" customHeight="1">
      <c r="B96" s="1"/>
      <c r="D96" s="1"/>
      <c r="F96" s="1"/>
      <c r="H96" s="1"/>
      <c r="J96" s="1"/>
      <c r="L96" s="1"/>
      <c r="N96" s="1"/>
      <c r="P96" s="1"/>
      <c r="Q96" s="5"/>
      <c r="R96" s="1"/>
      <c r="S96" s="5"/>
      <c r="T96" s="1"/>
      <c r="U96" s="5"/>
      <c r="V96" s="1"/>
      <c r="W96" s="5"/>
      <c r="X96" s="1"/>
      <c r="Y96" s="5"/>
      <c r="Z96" s="1"/>
      <c r="AA96" s="5"/>
      <c r="AB96" s="1"/>
    </row>
    <row r="97" spans="2:28" ht="4" customHeight="1">
      <c r="B97" s="1" t="s">
        <v>85</v>
      </c>
      <c r="D97" s="1" t="s">
        <v>85</v>
      </c>
      <c r="F97" s="1" t="s">
        <v>85</v>
      </c>
      <c r="H97" s="1" t="s">
        <v>85</v>
      </c>
      <c r="J97" s="1" t="s">
        <v>85</v>
      </c>
      <c r="L97" s="1" t="s">
        <v>85</v>
      </c>
      <c r="N97" s="1" t="s">
        <v>85</v>
      </c>
      <c r="P97" s="1"/>
      <c r="Q97" s="5"/>
      <c r="R97" s="1"/>
      <c r="S97" s="5"/>
      <c r="T97" s="1"/>
      <c r="U97" s="5"/>
      <c r="V97" s="1"/>
      <c r="W97" s="5"/>
      <c r="X97" s="1"/>
      <c r="Y97" s="5"/>
      <c r="Z97" s="1"/>
      <c r="AA97" s="5"/>
      <c r="AB97" s="1"/>
    </row>
    <row r="98" spans="2:28" ht="4" customHeight="1">
      <c r="B98" s="1" t="s">
        <v>80</v>
      </c>
      <c r="D98" s="1" t="s">
        <v>80</v>
      </c>
      <c r="F98" s="1" t="s">
        <v>80</v>
      </c>
      <c r="H98" s="1" t="s">
        <v>80</v>
      </c>
      <c r="J98" s="1" t="s">
        <v>80</v>
      </c>
      <c r="L98" s="1" t="s">
        <v>80</v>
      </c>
      <c r="N98" s="1" t="s">
        <v>80</v>
      </c>
      <c r="P98" s="1"/>
      <c r="Q98" s="5"/>
      <c r="R98" s="1"/>
      <c r="S98" s="5"/>
      <c r="T98" s="1"/>
      <c r="U98" s="5"/>
      <c r="V98" s="1"/>
      <c r="W98" s="5"/>
      <c r="X98" s="1"/>
      <c r="Y98" s="5"/>
      <c r="Z98" s="1"/>
      <c r="AA98" s="5"/>
      <c r="AB98" s="1"/>
    </row>
    <row r="99" spans="2:28" ht="4" customHeight="1">
      <c r="B99" s="10" t="s">
        <v>86</v>
      </c>
      <c r="D99" s="10" t="s">
        <v>86</v>
      </c>
      <c r="F99" s="10" t="s">
        <v>86</v>
      </c>
      <c r="H99" s="10" t="s">
        <v>86</v>
      </c>
      <c r="J99" s="10" t="s">
        <v>86</v>
      </c>
      <c r="L99" s="10" t="s">
        <v>86</v>
      </c>
      <c r="N99" s="10" t="s">
        <v>86</v>
      </c>
      <c r="P99" s="4"/>
      <c r="Q99" s="5"/>
      <c r="R99" s="4"/>
      <c r="S99" s="5"/>
      <c r="T99" s="4"/>
      <c r="U99" s="5"/>
      <c r="V99" s="4"/>
      <c r="W99" s="5"/>
      <c r="X99" s="4"/>
      <c r="Y99" s="5"/>
      <c r="Z99" s="4"/>
      <c r="AA99" s="5"/>
      <c r="AB99" s="4"/>
    </row>
    <row r="100" spans="2:28" ht="4" customHeight="1">
      <c r="B100" s="2" t="s">
        <v>87</v>
      </c>
      <c r="D100" s="2" t="s">
        <v>87</v>
      </c>
      <c r="F100" s="2" t="s">
        <v>87</v>
      </c>
      <c r="H100" s="2" t="s">
        <v>87</v>
      </c>
      <c r="J100" s="2" t="s">
        <v>87</v>
      </c>
      <c r="L100" s="2" t="s">
        <v>87</v>
      </c>
      <c r="N100" s="2" t="s">
        <v>87</v>
      </c>
      <c r="P100" s="2"/>
      <c r="Q100" s="5"/>
      <c r="R100" s="2"/>
      <c r="S100" s="5"/>
      <c r="T100" s="2"/>
      <c r="U100" s="5"/>
      <c r="V100" s="2"/>
      <c r="W100" s="5"/>
      <c r="X100" s="2"/>
      <c r="Y100" s="5"/>
      <c r="Z100" s="2"/>
      <c r="AA100" s="5"/>
      <c r="AB100" s="2"/>
    </row>
    <row r="101" spans="2:28" ht="3" customHeight="1">
      <c r="B101" s="2" t="s">
        <v>88</v>
      </c>
      <c r="D101" s="2" t="s">
        <v>88</v>
      </c>
      <c r="F101" s="2" t="s">
        <v>88</v>
      </c>
      <c r="H101" s="2" t="s">
        <v>88</v>
      </c>
      <c r="J101" s="2" t="s">
        <v>88</v>
      </c>
      <c r="L101" s="2" t="s">
        <v>88</v>
      </c>
      <c r="N101" s="2" t="s">
        <v>88</v>
      </c>
      <c r="P101" s="2"/>
      <c r="Q101" s="5"/>
      <c r="R101" s="2"/>
      <c r="S101" s="5"/>
      <c r="T101" s="2"/>
      <c r="U101" s="5"/>
      <c r="V101" s="2"/>
      <c r="W101" s="5"/>
      <c r="X101" s="2"/>
      <c r="Y101" s="5"/>
      <c r="Z101" s="2"/>
      <c r="AA101" s="5"/>
      <c r="AB101" s="2"/>
    </row>
    <row r="102" spans="2:28" ht="4" customHeight="1">
      <c r="B102" s="2" t="s">
        <v>15</v>
      </c>
      <c r="D102" s="2" t="s">
        <v>15</v>
      </c>
      <c r="F102" s="2" t="s">
        <v>15</v>
      </c>
      <c r="H102" s="2" t="s">
        <v>15</v>
      </c>
      <c r="J102" s="2" t="s">
        <v>15</v>
      </c>
      <c r="L102" s="2" t="s">
        <v>15</v>
      </c>
      <c r="N102" s="2" t="s">
        <v>15</v>
      </c>
      <c r="P102" s="2"/>
      <c r="Q102" s="5"/>
      <c r="R102" s="2"/>
      <c r="S102" s="5"/>
      <c r="T102" s="2"/>
      <c r="U102" s="5"/>
      <c r="V102" s="2"/>
      <c r="W102" s="5"/>
      <c r="X102" s="2"/>
      <c r="Y102" s="5"/>
      <c r="Z102" s="2"/>
      <c r="AA102" s="5"/>
      <c r="AB102" s="2"/>
    </row>
    <row r="103" spans="2:28" ht="4" customHeight="1">
      <c r="B103" s="2" t="s">
        <v>89</v>
      </c>
      <c r="D103" s="2" t="s">
        <v>89</v>
      </c>
      <c r="F103" s="2" t="s">
        <v>89</v>
      </c>
      <c r="H103" s="2" t="s">
        <v>89</v>
      </c>
      <c r="J103" s="2" t="s">
        <v>89</v>
      </c>
      <c r="L103" s="2" t="s">
        <v>89</v>
      </c>
      <c r="N103" s="2" t="s">
        <v>89</v>
      </c>
      <c r="P103" s="2"/>
      <c r="Q103" s="5"/>
      <c r="R103" s="2"/>
      <c r="S103" s="5"/>
      <c r="T103" s="2"/>
      <c r="U103" s="5"/>
      <c r="V103" s="2"/>
      <c r="W103" s="5"/>
      <c r="X103" s="2"/>
      <c r="Y103" s="5"/>
      <c r="Z103" s="2"/>
      <c r="AA103" s="5"/>
      <c r="AB103" s="2"/>
    </row>
    <row r="104" spans="2:28" ht="1" customHeight="1">
      <c r="B104" s="1"/>
      <c r="D104" s="1"/>
      <c r="F104" s="1"/>
      <c r="H104" s="1"/>
      <c r="J104" s="1"/>
      <c r="L104" s="1"/>
      <c r="N104" s="1"/>
      <c r="P104" s="1"/>
      <c r="Q104" s="5"/>
      <c r="R104" s="1"/>
      <c r="S104" s="5"/>
      <c r="T104" s="1"/>
      <c r="U104" s="5"/>
      <c r="V104" s="1"/>
      <c r="W104" s="5"/>
      <c r="X104" s="1"/>
      <c r="Y104" s="5"/>
      <c r="Z104" s="1"/>
      <c r="AA104" s="5"/>
      <c r="AB104" s="1"/>
    </row>
    <row r="105" spans="2:28" ht="4" customHeight="1">
      <c r="B105" s="1" t="s">
        <v>85</v>
      </c>
      <c r="D105" s="1" t="s">
        <v>85</v>
      </c>
      <c r="F105" s="1" t="s">
        <v>85</v>
      </c>
      <c r="H105" s="1" t="s">
        <v>85</v>
      </c>
      <c r="J105" s="1" t="s">
        <v>85</v>
      </c>
      <c r="L105" s="1" t="s">
        <v>85</v>
      </c>
      <c r="N105" s="1" t="s">
        <v>85</v>
      </c>
      <c r="P105" s="1"/>
      <c r="Q105" s="5"/>
      <c r="R105" s="1"/>
      <c r="S105" s="5"/>
      <c r="T105" s="1"/>
      <c r="U105" s="5"/>
      <c r="V105" s="1"/>
      <c r="W105" s="5"/>
      <c r="X105" s="1"/>
      <c r="Y105" s="5"/>
      <c r="Z105" s="1"/>
      <c r="AA105" s="5"/>
      <c r="AB105" s="1"/>
    </row>
    <row r="106" spans="2:28" ht="4" customHeight="1">
      <c r="B106" s="1" t="s">
        <v>80</v>
      </c>
      <c r="D106" s="1" t="s">
        <v>80</v>
      </c>
      <c r="F106" s="1" t="s">
        <v>80</v>
      </c>
      <c r="H106" s="1" t="s">
        <v>80</v>
      </c>
      <c r="J106" s="1" t="s">
        <v>80</v>
      </c>
      <c r="L106" s="1" t="s">
        <v>80</v>
      </c>
      <c r="N106" s="1" t="s">
        <v>80</v>
      </c>
      <c r="P106" s="1"/>
      <c r="Q106" s="5"/>
      <c r="R106" s="1"/>
      <c r="S106" s="5"/>
      <c r="T106" s="1"/>
      <c r="U106" s="5"/>
      <c r="V106" s="1"/>
      <c r="W106" s="5"/>
      <c r="X106" s="1"/>
      <c r="Y106" s="5"/>
      <c r="Z106" s="1"/>
      <c r="AA106" s="5"/>
      <c r="AB106" s="1"/>
    </row>
    <row r="107" spans="2:28" ht="4" customHeight="1">
      <c r="B107" s="10" t="s">
        <v>86</v>
      </c>
      <c r="D107" s="10" t="s">
        <v>86</v>
      </c>
      <c r="F107" s="10" t="s">
        <v>86</v>
      </c>
      <c r="H107" s="10" t="s">
        <v>86</v>
      </c>
      <c r="J107" s="10" t="s">
        <v>86</v>
      </c>
      <c r="L107" s="10" t="s">
        <v>86</v>
      </c>
      <c r="N107" s="10" t="s">
        <v>86</v>
      </c>
      <c r="P107" s="4"/>
      <c r="Q107" s="5"/>
      <c r="R107" s="4"/>
      <c r="S107" s="5"/>
      <c r="T107" s="4"/>
      <c r="U107" s="5"/>
      <c r="V107" s="4"/>
      <c r="W107" s="5"/>
      <c r="X107" s="4"/>
      <c r="Y107" s="5"/>
      <c r="Z107" s="4"/>
      <c r="AA107" s="5"/>
      <c r="AB107" s="4"/>
    </row>
    <row r="108" spans="2:28" ht="4" customHeight="1">
      <c r="B108" s="2" t="s">
        <v>87</v>
      </c>
      <c r="D108" s="2" t="s">
        <v>87</v>
      </c>
      <c r="F108" s="2" t="s">
        <v>87</v>
      </c>
      <c r="H108" s="2" t="s">
        <v>87</v>
      </c>
      <c r="J108" s="2" t="s">
        <v>87</v>
      </c>
      <c r="L108" s="2" t="s">
        <v>87</v>
      </c>
      <c r="N108" s="2" t="s">
        <v>87</v>
      </c>
      <c r="P108" s="2"/>
      <c r="Q108" s="5"/>
      <c r="R108" s="2"/>
      <c r="S108" s="5"/>
      <c r="T108" s="2"/>
      <c r="U108" s="5"/>
      <c r="V108" s="2"/>
      <c r="W108" s="5"/>
      <c r="X108" s="2"/>
      <c r="Y108" s="5"/>
      <c r="Z108" s="2"/>
      <c r="AA108" s="5"/>
      <c r="AB108" s="2"/>
    </row>
    <row r="109" spans="2:28" ht="3" customHeight="1">
      <c r="B109" s="2" t="s">
        <v>88</v>
      </c>
      <c r="D109" s="2" t="s">
        <v>88</v>
      </c>
      <c r="F109" s="2" t="s">
        <v>88</v>
      </c>
      <c r="H109" s="2" t="s">
        <v>88</v>
      </c>
      <c r="J109" s="2" t="s">
        <v>88</v>
      </c>
      <c r="L109" s="2" t="s">
        <v>88</v>
      </c>
      <c r="N109" s="2" t="s">
        <v>88</v>
      </c>
      <c r="P109" s="2"/>
      <c r="Q109" s="5"/>
      <c r="R109" s="2"/>
      <c r="S109" s="5"/>
      <c r="T109" s="2"/>
      <c r="U109" s="5"/>
      <c r="V109" s="2"/>
      <c r="W109" s="5"/>
      <c r="X109" s="2"/>
      <c r="Y109" s="5"/>
      <c r="Z109" s="2"/>
      <c r="AA109" s="5"/>
      <c r="AB109" s="2"/>
    </row>
    <row r="110" spans="2:28" ht="4" customHeight="1">
      <c r="B110" s="2" t="s">
        <v>15</v>
      </c>
      <c r="D110" s="2" t="s">
        <v>15</v>
      </c>
      <c r="F110" s="2" t="s">
        <v>15</v>
      </c>
      <c r="H110" s="2" t="s">
        <v>15</v>
      </c>
      <c r="J110" s="2" t="s">
        <v>15</v>
      </c>
      <c r="L110" s="2" t="s">
        <v>15</v>
      </c>
      <c r="N110" s="2" t="s">
        <v>15</v>
      </c>
      <c r="P110" s="2"/>
      <c r="Q110" s="5"/>
      <c r="R110" s="2"/>
      <c r="S110" s="5"/>
      <c r="T110" s="2"/>
      <c r="U110" s="5"/>
      <c r="V110" s="2"/>
      <c r="W110" s="5"/>
      <c r="X110" s="2"/>
      <c r="Y110" s="5"/>
      <c r="Z110" s="2"/>
      <c r="AA110" s="5"/>
      <c r="AB110" s="2"/>
    </row>
    <row r="111" spans="2:28" ht="4" customHeight="1">
      <c r="B111" s="2" t="s">
        <v>89</v>
      </c>
      <c r="D111" s="2" t="s">
        <v>89</v>
      </c>
      <c r="F111" s="2" t="s">
        <v>89</v>
      </c>
      <c r="H111" s="2" t="s">
        <v>89</v>
      </c>
      <c r="J111" s="2" t="s">
        <v>89</v>
      </c>
      <c r="L111" s="2" t="s">
        <v>89</v>
      </c>
      <c r="N111" s="2" t="s">
        <v>89</v>
      </c>
      <c r="P111" s="2"/>
      <c r="Q111" s="5"/>
      <c r="R111" s="2"/>
      <c r="S111" s="5"/>
      <c r="T111" s="2"/>
      <c r="U111" s="5"/>
      <c r="V111" s="2"/>
      <c r="W111" s="5"/>
      <c r="X111" s="2"/>
      <c r="Y111" s="5"/>
      <c r="Z111" s="2"/>
      <c r="AA111" s="5"/>
      <c r="AB111" s="2"/>
    </row>
    <row r="112" spans="2:28" ht="1" customHeight="1">
      <c r="B112" s="1"/>
      <c r="D112" s="1"/>
      <c r="F112" s="1"/>
      <c r="H112" s="1"/>
      <c r="J112" s="1"/>
      <c r="L112" s="1"/>
      <c r="N112" s="1"/>
      <c r="P112" s="1"/>
      <c r="Q112" s="5"/>
      <c r="R112" s="1"/>
      <c r="S112" s="5"/>
      <c r="T112" s="1"/>
      <c r="U112" s="5"/>
      <c r="V112" s="1"/>
      <c r="W112" s="5"/>
      <c r="X112" s="1"/>
      <c r="Y112" s="5"/>
      <c r="Z112" s="1"/>
      <c r="AA112" s="5"/>
      <c r="AB112" s="1"/>
    </row>
    <row r="113" spans="2:28" ht="4" customHeight="1">
      <c r="B113" s="1" t="s">
        <v>85</v>
      </c>
      <c r="D113" s="1" t="s">
        <v>85</v>
      </c>
      <c r="F113" s="1" t="s">
        <v>85</v>
      </c>
      <c r="H113" s="1" t="s">
        <v>85</v>
      </c>
      <c r="J113" s="1" t="s">
        <v>85</v>
      </c>
      <c r="L113" s="1" t="s">
        <v>85</v>
      </c>
      <c r="N113" s="1" t="s">
        <v>85</v>
      </c>
      <c r="P113" s="1"/>
      <c r="Q113" s="5"/>
      <c r="R113" s="1"/>
      <c r="S113" s="5"/>
      <c r="T113" s="1"/>
      <c r="U113" s="5"/>
      <c r="V113" s="1"/>
      <c r="W113" s="5"/>
      <c r="X113" s="1"/>
      <c r="Y113" s="5"/>
      <c r="Z113" s="1"/>
      <c r="AA113" s="5"/>
      <c r="AB113" s="1"/>
    </row>
    <row r="114" spans="2:28" ht="4" customHeight="1">
      <c r="B114" s="1" t="s">
        <v>80</v>
      </c>
      <c r="D114" s="1" t="s">
        <v>80</v>
      </c>
      <c r="F114" s="1" t="s">
        <v>80</v>
      </c>
      <c r="H114" s="1" t="s">
        <v>80</v>
      </c>
      <c r="J114" s="1" t="s">
        <v>80</v>
      </c>
      <c r="L114" s="1" t="s">
        <v>80</v>
      </c>
      <c r="N114" s="1" t="s">
        <v>80</v>
      </c>
      <c r="P114" s="1"/>
      <c r="Q114" s="5"/>
      <c r="R114" s="1"/>
      <c r="S114" s="5"/>
      <c r="T114" s="1"/>
      <c r="U114" s="5"/>
      <c r="V114" s="1"/>
      <c r="W114" s="5"/>
      <c r="X114" s="1"/>
      <c r="Y114" s="5"/>
      <c r="Z114" s="1"/>
      <c r="AA114" s="5"/>
      <c r="AB114" s="1"/>
    </row>
    <row r="115" spans="2:28" ht="4" customHeight="1">
      <c r="B115" s="9" t="s">
        <v>86</v>
      </c>
      <c r="D115" s="9" t="s">
        <v>86</v>
      </c>
      <c r="F115" s="9" t="s">
        <v>86</v>
      </c>
      <c r="H115" s="9" t="s">
        <v>86</v>
      </c>
      <c r="J115" s="9" t="s">
        <v>86</v>
      </c>
      <c r="L115" s="9" t="s">
        <v>86</v>
      </c>
      <c r="N115" s="9" t="s">
        <v>86</v>
      </c>
      <c r="P115" s="4"/>
      <c r="Q115" s="5"/>
      <c r="R115" s="4"/>
      <c r="S115" s="5"/>
      <c r="T115" s="4"/>
      <c r="U115" s="5"/>
      <c r="V115" s="4"/>
      <c r="W115" s="5"/>
      <c r="X115" s="4"/>
      <c r="Y115" s="5"/>
      <c r="Z115" s="4"/>
      <c r="AA115" s="5"/>
      <c r="AB115" s="4"/>
    </row>
    <row r="116" spans="2:28" ht="4" customHeight="1">
      <c r="B116" s="2" t="s">
        <v>87</v>
      </c>
      <c r="D116" s="2" t="s">
        <v>87</v>
      </c>
      <c r="F116" s="2" t="s">
        <v>87</v>
      </c>
      <c r="H116" s="2" t="s">
        <v>87</v>
      </c>
      <c r="J116" s="2" t="s">
        <v>87</v>
      </c>
      <c r="L116" s="2" t="s">
        <v>87</v>
      </c>
      <c r="N116" s="2" t="s">
        <v>87</v>
      </c>
      <c r="P116" s="2"/>
      <c r="Q116" s="5"/>
      <c r="R116" s="2"/>
      <c r="S116" s="5"/>
      <c r="T116" s="2"/>
      <c r="U116" s="5"/>
      <c r="V116" s="2"/>
      <c r="W116" s="5"/>
      <c r="X116" s="2"/>
      <c r="Y116" s="5"/>
      <c r="Z116" s="2"/>
      <c r="AA116" s="5"/>
      <c r="AB116" s="2"/>
    </row>
    <row r="117" spans="2:28" ht="3" customHeight="1">
      <c r="B117" s="2" t="s">
        <v>88</v>
      </c>
      <c r="D117" s="2" t="s">
        <v>88</v>
      </c>
      <c r="F117" s="2" t="s">
        <v>88</v>
      </c>
      <c r="H117" s="2" t="s">
        <v>88</v>
      </c>
      <c r="J117" s="2" t="s">
        <v>88</v>
      </c>
      <c r="L117" s="2" t="s">
        <v>88</v>
      </c>
      <c r="N117" s="2" t="s">
        <v>88</v>
      </c>
      <c r="P117" s="2"/>
      <c r="Q117" s="5"/>
      <c r="R117" s="2"/>
      <c r="S117" s="5"/>
      <c r="T117" s="2"/>
      <c r="U117" s="5"/>
      <c r="V117" s="2"/>
      <c r="W117" s="5"/>
      <c r="X117" s="2"/>
      <c r="Y117" s="5"/>
      <c r="Z117" s="2"/>
      <c r="AA117" s="5"/>
      <c r="AB117" s="2"/>
    </row>
    <row r="118" spans="2:28" ht="4" customHeight="1">
      <c r="B118" s="2" t="s">
        <v>15</v>
      </c>
      <c r="D118" s="2" t="s">
        <v>15</v>
      </c>
      <c r="F118" s="2" t="s">
        <v>15</v>
      </c>
      <c r="H118" s="2" t="s">
        <v>15</v>
      </c>
      <c r="J118" s="2" t="s">
        <v>15</v>
      </c>
      <c r="L118" s="2" t="s">
        <v>15</v>
      </c>
      <c r="N118" s="2" t="s">
        <v>15</v>
      </c>
      <c r="P118" s="2"/>
      <c r="Q118" s="5"/>
      <c r="R118" s="2"/>
      <c r="S118" s="5"/>
      <c r="T118" s="2"/>
      <c r="U118" s="5"/>
      <c r="V118" s="2"/>
      <c r="W118" s="5"/>
      <c r="X118" s="2"/>
      <c r="Y118" s="5"/>
      <c r="Z118" s="2"/>
      <c r="AA118" s="5"/>
      <c r="AB118" s="2"/>
    </row>
    <row r="119" spans="2:28" ht="4" customHeight="1">
      <c r="B119" s="2" t="s">
        <v>89</v>
      </c>
      <c r="D119" s="2" t="s">
        <v>89</v>
      </c>
      <c r="F119" s="2" t="s">
        <v>89</v>
      </c>
      <c r="H119" s="2" t="s">
        <v>89</v>
      </c>
      <c r="J119" s="2" t="s">
        <v>89</v>
      </c>
      <c r="L119" s="2" t="s">
        <v>89</v>
      </c>
      <c r="N119" s="2" t="s">
        <v>89</v>
      </c>
      <c r="P119" s="2"/>
      <c r="Q119" s="5"/>
      <c r="R119" s="2"/>
      <c r="S119" s="5"/>
      <c r="T119" s="2"/>
      <c r="U119" s="5"/>
      <c r="V119" s="2"/>
      <c r="W119" s="5"/>
      <c r="X119" s="2"/>
      <c r="Y119" s="5"/>
      <c r="Z119" s="2"/>
      <c r="AA119" s="5"/>
      <c r="AB119" s="2"/>
    </row>
    <row r="120" spans="2:28" ht="1" customHeight="1">
      <c r="B120" s="1"/>
      <c r="D120" s="1"/>
      <c r="F120" s="1"/>
      <c r="H120" s="1"/>
      <c r="J120" s="1"/>
      <c r="L120" s="1"/>
      <c r="N120" s="1"/>
      <c r="P120" s="1"/>
      <c r="Q120" s="5"/>
      <c r="R120" s="1"/>
      <c r="S120" s="5"/>
      <c r="T120" s="1"/>
      <c r="U120" s="5"/>
      <c r="V120" s="1"/>
      <c r="W120" s="5"/>
      <c r="X120" s="1"/>
      <c r="Y120" s="5"/>
      <c r="Z120" s="1"/>
      <c r="AA120" s="5"/>
      <c r="AB120" s="1"/>
    </row>
    <row r="121" spans="2:28" ht="4" customHeight="1">
      <c r="B121" s="1" t="s">
        <v>90</v>
      </c>
      <c r="D121" s="1" t="s">
        <v>90</v>
      </c>
      <c r="F121" s="1" t="s">
        <v>90</v>
      </c>
      <c r="H121" s="1" t="s">
        <v>90</v>
      </c>
      <c r="J121" s="1" t="s">
        <v>90</v>
      </c>
      <c r="L121" s="1" t="s">
        <v>90</v>
      </c>
      <c r="N121" s="1" t="s">
        <v>90</v>
      </c>
      <c r="P121" s="1"/>
      <c r="Q121" s="5"/>
      <c r="R121" s="1"/>
      <c r="S121" s="5"/>
      <c r="T121" s="1"/>
      <c r="U121" s="5"/>
      <c r="V121" s="1"/>
      <c r="W121" s="5"/>
      <c r="X121" s="1"/>
      <c r="Y121" s="5"/>
      <c r="Z121" s="1"/>
      <c r="AA121" s="5"/>
      <c r="AB121" s="1"/>
    </row>
    <row r="122" spans="2:28" ht="4" customHeight="1">
      <c r="B122" s="1" t="s">
        <v>80</v>
      </c>
      <c r="D122" s="1" t="s">
        <v>80</v>
      </c>
      <c r="F122" s="1" t="s">
        <v>80</v>
      </c>
      <c r="H122" s="1" t="s">
        <v>80</v>
      </c>
      <c r="J122" s="1" t="s">
        <v>80</v>
      </c>
      <c r="L122" s="1" t="s">
        <v>80</v>
      </c>
      <c r="N122" s="1" t="s">
        <v>80</v>
      </c>
      <c r="P122" s="1"/>
      <c r="Q122" s="5"/>
      <c r="R122" s="1"/>
      <c r="S122" s="5"/>
      <c r="T122" s="1"/>
      <c r="U122" s="5"/>
      <c r="V122" s="1"/>
      <c r="W122" s="5"/>
      <c r="X122" s="1"/>
      <c r="Y122" s="5"/>
      <c r="Z122" s="1"/>
      <c r="AA122" s="5"/>
      <c r="AB122" s="1"/>
    </row>
    <row r="123" spans="2:28" ht="4" customHeight="1">
      <c r="B123" s="10" t="s">
        <v>91</v>
      </c>
      <c r="D123" s="10" t="s">
        <v>91</v>
      </c>
      <c r="F123" s="10" t="s">
        <v>91</v>
      </c>
      <c r="H123" s="10" t="s">
        <v>91</v>
      </c>
      <c r="J123" s="10" t="s">
        <v>91</v>
      </c>
      <c r="L123" s="10" t="s">
        <v>91</v>
      </c>
      <c r="N123" s="10" t="s">
        <v>91</v>
      </c>
      <c r="P123" s="4"/>
      <c r="Q123" s="5"/>
      <c r="R123" s="4"/>
      <c r="S123" s="5"/>
      <c r="T123" s="4"/>
      <c r="U123" s="5"/>
      <c r="V123" s="4"/>
      <c r="W123" s="5"/>
      <c r="X123" s="4"/>
      <c r="Y123" s="5"/>
      <c r="Z123" s="4"/>
      <c r="AA123" s="5"/>
      <c r="AB123" s="4"/>
    </row>
    <row r="124" spans="2:28" ht="4" customHeight="1">
      <c r="B124" s="2" t="s">
        <v>92</v>
      </c>
      <c r="D124" s="2" t="s">
        <v>92</v>
      </c>
      <c r="F124" s="2" t="s">
        <v>92</v>
      </c>
      <c r="H124" s="2" t="s">
        <v>92</v>
      </c>
      <c r="J124" s="2" t="s">
        <v>92</v>
      </c>
      <c r="L124" s="2" t="s">
        <v>92</v>
      </c>
      <c r="N124" s="2" t="s">
        <v>92</v>
      </c>
      <c r="P124" s="2"/>
      <c r="Q124" s="5"/>
      <c r="R124" s="2"/>
      <c r="S124" s="5"/>
      <c r="T124" s="2"/>
      <c r="U124" s="5"/>
      <c r="V124" s="2"/>
      <c r="W124" s="5"/>
      <c r="X124" s="2"/>
      <c r="Y124" s="5"/>
      <c r="Z124" s="2"/>
      <c r="AA124" s="5"/>
      <c r="AB124" s="2"/>
    </row>
    <row r="125" spans="2:28" ht="3" customHeight="1">
      <c r="B125" s="2" t="s">
        <v>93</v>
      </c>
      <c r="D125" s="2" t="s">
        <v>93</v>
      </c>
      <c r="F125" s="2" t="s">
        <v>93</v>
      </c>
      <c r="H125" s="2" t="s">
        <v>93</v>
      </c>
      <c r="J125" s="2" t="s">
        <v>93</v>
      </c>
      <c r="L125" s="2" t="s">
        <v>93</v>
      </c>
      <c r="N125" s="2" t="s">
        <v>93</v>
      </c>
      <c r="P125" s="2"/>
      <c r="Q125" s="5"/>
      <c r="R125" s="2"/>
      <c r="S125" s="5"/>
      <c r="T125" s="2"/>
      <c r="U125" s="5"/>
      <c r="V125" s="2"/>
      <c r="W125" s="5"/>
      <c r="X125" s="2"/>
      <c r="Y125" s="5"/>
      <c r="Z125" s="2"/>
      <c r="AA125" s="5"/>
      <c r="AB125" s="2"/>
    </row>
    <row r="126" spans="2:28" ht="4" customHeight="1">
      <c r="B126" s="2" t="s">
        <v>15</v>
      </c>
      <c r="D126" s="2" t="s">
        <v>15</v>
      </c>
      <c r="F126" s="2" t="s">
        <v>15</v>
      </c>
      <c r="H126" s="2" t="s">
        <v>15</v>
      </c>
      <c r="J126" s="2" t="s">
        <v>15</v>
      </c>
      <c r="L126" s="2" t="s">
        <v>15</v>
      </c>
      <c r="N126" s="2" t="s">
        <v>15</v>
      </c>
      <c r="P126" s="2"/>
      <c r="Q126" s="5"/>
      <c r="R126" s="2"/>
      <c r="S126" s="5"/>
      <c r="T126" s="2"/>
      <c r="U126" s="5"/>
      <c r="V126" s="2"/>
      <c r="W126" s="5"/>
      <c r="X126" s="2"/>
      <c r="Y126" s="5"/>
      <c r="Z126" s="2"/>
      <c r="AA126" s="5"/>
      <c r="AB126" s="2"/>
    </row>
    <row r="127" spans="2:28" ht="4" customHeight="1">
      <c r="B127" s="2" t="s">
        <v>94</v>
      </c>
      <c r="D127" s="2" t="s">
        <v>94</v>
      </c>
      <c r="F127" s="2" t="s">
        <v>94</v>
      </c>
      <c r="H127" s="2" t="s">
        <v>94</v>
      </c>
      <c r="J127" s="2" t="s">
        <v>94</v>
      </c>
      <c r="L127" s="2" t="s">
        <v>94</v>
      </c>
      <c r="N127" s="2" t="s">
        <v>94</v>
      </c>
      <c r="P127" s="2"/>
      <c r="Q127" s="5"/>
      <c r="R127" s="2"/>
      <c r="S127" s="5"/>
      <c r="T127" s="2"/>
      <c r="U127" s="5"/>
      <c r="V127" s="2"/>
      <c r="W127" s="5"/>
      <c r="X127" s="2"/>
      <c r="Y127" s="5"/>
      <c r="Z127" s="2"/>
      <c r="AA127" s="5"/>
      <c r="AB127" s="2"/>
    </row>
    <row r="128" spans="2:28" ht="1" customHeight="1">
      <c r="B128" s="1"/>
      <c r="D128" s="1"/>
      <c r="F128" s="1"/>
      <c r="H128" s="1"/>
      <c r="J128" s="1"/>
      <c r="L128" s="1"/>
      <c r="N128" s="1"/>
      <c r="P128" s="1"/>
      <c r="Q128" s="5"/>
      <c r="R128" s="1"/>
      <c r="S128" s="5"/>
      <c r="T128" s="1"/>
      <c r="U128" s="5"/>
      <c r="V128" s="1"/>
      <c r="W128" s="5"/>
      <c r="X128" s="1"/>
      <c r="Y128" s="5"/>
      <c r="Z128" s="1"/>
      <c r="AA128" s="5"/>
      <c r="AB128" s="1"/>
    </row>
    <row r="129" spans="2:28" ht="4" customHeight="1">
      <c r="B129" s="1" t="s">
        <v>90</v>
      </c>
      <c r="D129" s="1" t="s">
        <v>90</v>
      </c>
      <c r="F129" s="1" t="s">
        <v>90</v>
      </c>
      <c r="H129" s="1" t="s">
        <v>90</v>
      </c>
      <c r="J129" s="1" t="s">
        <v>90</v>
      </c>
      <c r="L129" s="1" t="s">
        <v>90</v>
      </c>
      <c r="N129" s="1" t="s">
        <v>90</v>
      </c>
      <c r="P129" s="1"/>
      <c r="Q129" s="5"/>
      <c r="R129" s="1"/>
      <c r="S129" s="5"/>
      <c r="T129" s="1"/>
      <c r="U129" s="5"/>
      <c r="V129" s="1"/>
      <c r="W129" s="5"/>
      <c r="X129" s="1"/>
      <c r="Y129" s="5"/>
      <c r="Z129" s="1"/>
      <c r="AA129" s="5"/>
      <c r="AB129" s="1"/>
    </row>
    <row r="130" spans="2:28" ht="4" customHeight="1">
      <c r="B130" s="1" t="s">
        <v>80</v>
      </c>
      <c r="D130" s="1" t="s">
        <v>80</v>
      </c>
      <c r="F130" s="1" t="s">
        <v>80</v>
      </c>
      <c r="H130" s="1" t="s">
        <v>80</v>
      </c>
      <c r="J130" s="1" t="s">
        <v>80</v>
      </c>
      <c r="L130" s="1" t="s">
        <v>80</v>
      </c>
      <c r="N130" s="1" t="s">
        <v>80</v>
      </c>
      <c r="P130" s="1"/>
      <c r="Q130" s="5"/>
      <c r="R130" s="1"/>
      <c r="S130" s="5"/>
      <c r="T130" s="1"/>
      <c r="U130" s="5"/>
      <c r="V130" s="1"/>
      <c r="W130" s="5"/>
      <c r="X130" s="1"/>
      <c r="Y130" s="5"/>
      <c r="Z130" s="1"/>
      <c r="AA130" s="5"/>
      <c r="AB130" s="1"/>
    </row>
    <row r="131" spans="2:28" ht="4" customHeight="1">
      <c r="B131" s="2" t="s">
        <v>91</v>
      </c>
      <c r="D131" s="2" t="s">
        <v>91</v>
      </c>
      <c r="F131" s="2" t="s">
        <v>91</v>
      </c>
      <c r="H131" s="2" t="s">
        <v>91</v>
      </c>
      <c r="J131" s="2" t="s">
        <v>91</v>
      </c>
      <c r="L131" s="2" t="s">
        <v>91</v>
      </c>
      <c r="N131" s="2" t="s">
        <v>91</v>
      </c>
      <c r="P131" s="4"/>
      <c r="Q131" s="5"/>
      <c r="R131" s="4"/>
      <c r="S131" s="5"/>
      <c r="T131" s="4"/>
      <c r="U131" s="5"/>
      <c r="V131" s="4"/>
      <c r="W131" s="5"/>
      <c r="X131" s="4"/>
      <c r="Y131" s="5"/>
      <c r="Z131" s="4"/>
      <c r="AA131" s="5"/>
      <c r="AB131" s="4"/>
    </row>
    <row r="132" spans="2:28" ht="4" customHeight="1">
      <c r="B132" s="2" t="s">
        <v>92</v>
      </c>
      <c r="D132" s="2" t="s">
        <v>92</v>
      </c>
      <c r="F132" s="2" t="s">
        <v>92</v>
      </c>
      <c r="H132" s="2" t="s">
        <v>92</v>
      </c>
      <c r="J132" s="2" t="s">
        <v>92</v>
      </c>
      <c r="L132" s="2" t="s">
        <v>92</v>
      </c>
      <c r="N132" s="2" t="s">
        <v>92</v>
      </c>
      <c r="P132" s="2"/>
      <c r="Q132" s="5"/>
      <c r="R132" s="2"/>
      <c r="S132" s="5"/>
      <c r="T132" s="2"/>
      <c r="U132" s="5"/>
      <c r="V132" s="2"/>
      <c r="W132" s="5"/>
      <c r="X132" s="2"/>
      <c r="Y132" s="5"/>
      <c r="Z132" s="2"/>
      <c r="AA132" s="5"/>
      <c r="AB132" s="2"/>
    </row>
    <row r="133" spans="2:28" ht="3" customHeight="1">
      <c r="B133" s="2" t="s">
        <v>93</v>
      </c>
      <c r="D133" s="2" t="s">
        <v>93</v>
      </c>
      <c r="F133" s="2" t="s">
        <v>93</v>
      </c>
      <c r="H133" s="2" t="s">
        <v>93</v>
      </c>
      <c r="J133" s="2" t="s">
        <v>93</v>
      </c>
      <c r="L133" s="2" t="s">
        <v>93</v>
      </c>
      <c r="N133" s="2" t="s">
        <v>93</v>
      </c>
      <c r="P133" s="2"/>
      <c r="Q133" s="5"/>
      <c r="R133" s="2"/>
      <c r="S133" s="5"/>
      <c r="T133" s="2"/>
      <c r="U133" s="5"/>
      <c r="V133" s="2"/>
      <c r="W133" s="5"/>
      <c r="X133" s="2"/>
      <c r="Y133" s="5"/>
      <c r="Z133" s="2"/>
      <c r="AA133" s="5"/>
      <c r="AB133" s="2"/>
    </row>
    <row r="134" spans="2:28" ht="4" customHeight="1">
      <c r="B134" s="2" t="s">
        <v>15</v>
      </c>
      <c r="D134" s="2" t="s">
        <v>15</v>
      </c>
      <c r="F134" s="2" t="s">
        <v>15</v>
      </c>
      <c r="H134" s="2" t="s">
        <v>15</v>
      </c>
      <c r="J134" s="2" t="s">
        <v>15</v>
      </c>
      <c r="L134" s="2" t="s">
        <v>15</v>
      </c>
      <c r="N134" s="2" t="s">
        <v>15</v>
      </c>
      <c r="P134" s="2"/>
      <c r="Q134" s="5"/>
      <c r="R134" s="2"/>
      <c r="S134" s="5"/>
      <c r="T134" s="2"/>
      <c r="U134" s="5"/>
      <c r="V134" s="2"/>
      <c r="W134" s="5"/>
      <c r="X134" s="2"/>
      <c r="Y134" s="5"/>
      <c r="Z134" s="2"/>
      <c r="AA134" s="5"/>
      <c r="AB134" s="2"/>
    </row>
    <row r="135" spans="2:28" ht="4" customHeight="1">
      <c r="B135" s="2" t="s">
        <v>94</v>
      </c>
      <c r="D135" s="2" t="s">
        <v>94</v>
      </c>
      <c r="F135" s="2" t="s">
        <v>94</v>
      </c>
      <c r="H135" s="2" t="s">
        <v>94</v>
      </c>
      <c r="J135" s="2" t="s">
        <v>94</v>
      </c>
      <c r="L135" s="2" t="s">
        <v>94</v>
      </c>
      <c r="N135" s="2" t="s">
        <v>94</v>
      </c>
      <c r="P135" s="2"/>
      <c r="Q135" s="5"/>
      <c r="R135" s="2"/>
      <c r="S135" s="5"/>
      <c r="T135" s="2"/>
      <c r="U135" s="5"/>
      <c r="V135" s="2"/>
      <c r="W135" s="5"/>
      <c r="X135" s="2"/>
      <c r="Y135" s="5"/>
      <c r="Z135" s="2"/>
      <c r="AA135" s="5"/>
      <c r="AB135" s="2"/>
    </row>
    <row r="136" spans="2:28" ht="1" customHeight="1">
      <c r="B136" s="1"/>
      <c r="D136" s="1"/>
      <c r="F136" s="1"/>
      <c r="H136" s="1"/>
      <c r="J136" s="1"/>
      <c r="L136" s="1"/>
      <c r="N136" s="1"/>
      <c r="P136" s="1"/>
      <c r="Q136" s="5"/>
      <c r="R136" s="1"/>
      <c r="S136" s="5"/>
      <c r="T136" s="1"/>
      <c r="U136" s="5"/>
      <c r="V136" s="1"/>
      <c r="W136" s="5"/>
      <c r="X136" s="1"/>
      <c r="Y136" s="5"/>
      <c r="Z136" s="1"/>
      <c r="AA136" s="5"/>
      <c r="AB136" s="1"/>
    </row>
    <row r="137" spans="2:28" ht="4" customHeight="1">
      <c r="B137" s="1" t="s">
        <v>90</v>
      </c>
      <c r="D137" s="1" t="s">
        <v>90</v>
      </c>
      <c r="F137" s="1" t="s">
        <v>90</v>
      </c>
      <c r="H137" s="1" t="s">
        <v>90</v>
      </c>
      <c r="J137" s="1" t="s">
        <v>90</v>
      </c>
      <c r="L137" s="1" t="s">
        <v>90</v>
      </c>
      <c r="N137" s="1" t="s">
        <v>90</v>
      </c>
      <c r="P137" s="1"/>
      <c r="Q137" s="5"/>
      <c r="R137" s="1"/>
      <c r="S137" s="5"/>
      <c r="T137" s="1"/>
      <c r="U137" s="5"/>
      <c r="V137" s="1"/>
      <c r="W137" s="5"/>
      <c r="X137" s="1"/>
      <c r="Y137" s="5"/>
      <c r="Z137" s="1"/>
      <c r="AA137" s="5"/>
      <c r="AB137" s="1"/>
    </row>
    <row r="138" spans="2:28" ht="4" customHeight="1">
      <c r="B138" s="1" t="s">
        <v>80</v>
      </c>
      <c r="D138" s="1" t="s">
        <v>80</v>
      </c>
      <c r="F138" s="1" t="s">
        <v>80</v>
      </c>
      <c r="H138" s="1" t="s">
        <v>80</v>
      </c>
      <c r="J138" s="1" t="s">
        <v>80</v>
      </c>
      <c r="L138" s="1" t="s">
        <v>80</v>
      </c>
      <c r="N138" s="1" t="s">
        <v>80</v>
      </c>
      <c r="P138" s="1"/>
      <c r="Q138" s="5"/>
      <c r="R138" s="1"/>
      <c r="S138" s="5"/>
      <c r="T138" s="1"/>
      <c r="U138" s="5"/>
      <c r="V138" s="1"/>
      <c r="W138" s="5"/>
      <c r="X138" s="1"/>
      <c r="Y138" s="5"/>
      <c r="Z138" s="1"/>
      <c r="AA138" s="5"/>
      <c r="AB138" s="1"/>
    </row>
    <row r="139" spans="2:28" ht="4" customHeight="1">
      <c r="B139" s="9" t="s">
        <v>91</v>
      </c>
      <c r="D139" s="9" t="s">
        <v>91</v>
      </c>
      <c r="F139" s="9" t="s">
        <v>91</v>
      </c>
      <c r="H139" s="9" t="s">
        <v>91</v>
      </c>
      <c r="J139" s="9" t="s">
        <v>91</v>
      </c>
      <c r="L139" s="9" t="s">
        <v>91</v>
      </c>
      <c r="N139" s="9" t="s">
        <v>91</v>
      </c>
      <c r="P139" s="4"/>
      <c r="Q139" s="5"/>
      <c r="R139" s="4"/>
      <c r="S139" s="5"/>
      <c r="T139" s="4"/>
      <c r="U139" s="5"/>
      <c r="V139" s="4"/>
      <c r="W139" s="5"/>
      <c r="X139" s="4"/>
      <c r="Y139" s="5"/>
      <c r="Z139" s="4"/>
      <c r="AA139" s="5"/>
      <c r="AB139" s="4"/>
    </row>
    <row r="140" spans="2:28" ht="4" customHeight="1">
      <c r="B140" s="2" t="s">
        <v>92</v>
      </c>
      <c r="D140" s="2" t="s">
        <v>92</v>
      </c>
      <c r="F140" s="2" t="s">
        <v>92</v>
      </c>
      <c r="H140" s="2" t="s">
        <v>92</v>
      </c>
      <c r="J140" s="2" t="s">
        <v>92</v>
      </c>
      <c r="L140" s="2" t="s">
        <v>92</v>
      </c>
      <c r="N140" s="2" t="s">
        <v>92</v>
      </c>
      <c r="P140" s="2"/>
      <c r="Q140" s="5"/>
      <c r="R140" s="2"/>
      <c r="S140" s="5"/>
      <c r="T140" s="2"/>
      <c r="U140" s="5"/>
      <c r="V140" s="2"/>
      <c r="W140" s="5"/>
      <c r="X140" s="2"/>
      <c r="Y140" s="5"/>
      <c r="Z140" s="2"/>
      <c r="AA140" s="5"/>
      <c r="AB140" s="2"/>
    </row>
    <row r="141" spans="2:28" ht="3" customHeight="1">
      <c r="B141" s="2" t="s">
        <v>93</v>
      </c>
      <c r="D141" s="2" t="s">
        <v>93</v>
      </c>
      <c r="F141" s="2" t="s">
        <v>93</v>
      </c>
      <c r="H141" s="2" t="s">
        <v>93</v>
      </c>
      <c r="J141" s="2" t="s">
        <v>93</v>
      </c>
      <c r="L141" s="2" t="s">
        <v>93</v>
      </c>
      <c r="N141" s="2" t="s">
        <v>93</v>
      </c>
      <c r="P141" s="2"/>
      <c r="Q141" s="5"/>
      <c r="R141" s="2"/>
      <c r="S141" s="5"/>
      <c r="T141" s="2"/>
      <c r="U141" s="5"/>
      <c r="V141" s="2"/>
      <c r="W141" s="5"/>
      <c r="X141" s="2"/>
      <c r="Y141" s="5"/>
      <c r="Z141" s="2"/>
      <c r="AA141" s="5"/>
      <c r="AB141" s="2"/>
    </row>
    <row r="142" spans="2:28" ht="4" customHeight="1">
      <c r="B142" s="2" t="s">
        <v>15</v>
      </c>
      <c r="D142" s="2" t="s">
        <v>15</v>
      </c>
      <c r="F142" s="2" t="s">
        <v>15</v>
      </c>
      <c r="H142" s="2" t="s">
        <v>15</v>
      </c>
      <c r="J142" s="2" t="s">
        <v>15</v>
      </c>
      <c r="L142" s="2" t="s">
        <v>15</v>
      </c>
      <c r="N142" s="2" t="s">
        <v>15</v>
      </c>
      <c r="P142" s="2"/>
      <c r="Q142" s="5"/>
      <c r="R142" s="2"/>
      <c r="S142" s="5"/>
      <c r="T142" s="2"/>
      <c r="U142" s="5"/>
      <c r="V142" s="2"/>
      <c r="W142" s="5"/>
      <c r="X142" s="2"/>
      <c r="Y142" s="5"/>
      <c r="Z142" s="2"/>
      <c r="AA142" s="5"/>
      <c r="AB142" s="2"/>
    </row>
    <row r="143" spans="2:28" ht="4" customHeight="1">
      <c r="B143" s="2" t="s">
        <v>94</v>
      </c>
      <c r="D143" s="2" t="s">
        <v>94</v>
      </c>
      <c r="F143" s="2" t="s">
        <v>94</v>
      </c>
      <c r="H143" s="2" t="s">
        <v>94</v>
      </c>
      <c r="J143" s="2" t="s">
        <v>94</v>
      </c>
      <c r="L143" s="2" t="s">
        <v>94</v>
      </c>
      <c r="N143" s="2" t="s">
        <v>94</v>
      </c>
      <c r="P143" s="2"/>
      <c r="Q143" s="5"/>
      <c r="R143" s="2"/>
      <c r="S143" s="5"/>
      <c r="T143" s="2"/>
      <c r="U143" s="5"/>
      <c r="V143" s="2"/>
      <c r="W143" s="5"/>
      <c r="X143" s="2"/>
      <c r="Y143" s="5"/>
      <c r="Z143" s="2"/>
      <c r="AA143" s="5"/>
      <c r="AB143" s="2"/>
    </row>
    <row r="144" spans="2:28" ht="1" customHeight="1">
      <c r="B144" s="1"/>
      <c r="D144" s="1"/>
      <c r="F144" s="1"/>
      <c r="H144" s="1"/>
      <c r="J144" s="1"/>
      <c r="L144" s="1"/>
      <c r="N144" s="1"/>
      <c r="P144" s="1"/>
      <c r="Q144" s="5"/>
      <c r="R144" s="1"/>
      <c r="S144" s="5"/>
      <c r="T144" s="1"/>
      <c r="U144" s="5"/>
      <c r="V144" s="1"/>
      <c r="W144" s="5"/>
      <c r="X144" s="1"/>
      <c r="Y144" s="5"/>
      <c r="Z144" s="1"/>
      <c r="AA144" s="5"/>
      <c r="AB144" s="1"/>
    </row>
    <row r="145" spans="2:28" ht="4" customHeight="1">
      <c r="B145" s="1" t="s">
        <v>90</v>
      </c>
      <c r="D145" s="1" t="s">
        <v>90</v>
      </c>
      <c r="F145" s="1" t="s">
        <v>90</v>
      </c>
      <c r="H145" s="1" t="s">
        <v>90</v>
      </c>
      <c r="J145" s="1" t="s">
        <v>90</v>
      </c>
      <c r="L145" s="1" t="s">
        <v>90</v>
      </c>
      <c r="N145" s="1" t="s">
        <v>90</v>
      </c>
      <c r="P145" s="1"/>
      <c r="Q145" s="5"/>
      <c r="R145" s="1"/>
      <c r="S145" s="5"/>
      <c r="T145" s="1"/>
      <c r="U145" s="5"/>
      <c r="V145" s="1"/>
      <c r="W145" s="5"/>
      <c r="X145" s="1"/>
      <c r="Y145" s="5"/>
      <c r="Z145" s="1"/>
      <c r="AA145" s="5"/>
      <c r="AB145" s="1"/>
    </row>
    <row r="146" spans="2:28" ht="4" customHeight="1">
      <c r="B146" s="1" t="s">
        <v>80</v>
      </c>
      <c r="D146" s="1" t="s">
        <v>80</v>
      </c>
      <c r="F146" s="1" t="s">
        <v>80</v>
      </c>
      <c r="H146" s="1" t="s">
        <v>80</v>
      </c>
      <c r="J146" s="1" t="s">
        <v>80</v>
      </c>
      <c r="L146" s="1" t="s">
        <v>80</v>
      </c>
      <c r="N146" s="1" t="s">
        <v>80</v>
      </c>
      <c r="P146" s="1"/>
      <c r="Q146" s="5"/>
      <c r="R146" s="1"/>
      <c r="S146" s="5"/>
      <c r="T146" s="1"/>
      <c r="U146" s="5"/>
      <c r="V146" s="1"/>
      <c r="W146" s="5"/>
      <c r="X146" s="1"/>
      <c r="Y146" s="5"/>
      <c r="Z146" s="1"/>
      <c r="AA146" s="5"/>
      <c r="AB146" s="1"/>
    </row>
    <row r="147" spans="2:28" ht="4" customHeight="1">
      <c r="B147" s="9" t="s">
        <v>91</v>
      </c>
      <c r="D147" s="9" t="s">
        <v>91</v>
      </c>
      <c r="F147" s="9" t="s">
        <v>91</v>
      </c>
      <c r="H147" s="9" t="s">
        <v>91</v>
      </c>
      <c r="J147" s="9" t="s">
        <v>91</v>
      </c>
      <c r="L147" s="9" t="s">
        <v>91</v>
      </c>
      <c r="N147" s="9" t="s">
        <v>91</v>
      </c>
      <c r="P147" s="4"/>
      <c r="Q147" s="5"/>
      <c r="R147" s="4"/>
      <c r="S147" s="5"/>
      <c r="T147" s="4"/>
      <c r="U147" s="5"/>
      <c r="V147" s="4"/>
      <c r="W147" s="5"/>
      <c r="X147" s="4"/>
      <c r="Y147" s="5"/>
      <c r="Z147" s="4"/>
      <c r="AA147" s="5"/>
      <c r="AB147" s="4"/>
    </row>
    <row r="148" spans="2:28" ht="4" customHeight="1">
      <c r="B148" s="2" t="s">
        <v>92</v>
      </c>
      <c r="D148" s="2" t="s">
        <v>92</v>
      </c>
      <c r="F148" s="2" t="s">
        <v>92</v>
      </c>
      <c r="H148" s="2" t="s">
        <v>92</v>
      </c>
      <c r="J148" s="2" t="s">
        <v>92</v>
      </c>
      <c r="L148" s="2" t="s">
        <v>92</v>
      </c>
      <c r="N148" s="2" t="s">
        <v>92</v>
      </c>
      <c r="P148" s="2"/>
      <c r="Q148" s="5"/>
      <c r="R148" s="2"/>
      <c r="S148" s="5"/>
      <c r="T148" s="2"/>
      <c r="U148" s="5"/>
      <c r="V148" s="2"/>
      <c r="W148" s="5"/>
      <c r="X148" s="2"/>
      <c r="Y148" s="5"/>
      <c r="Z148" s="2"/>
      <c r="AA148" s="5"/>
      <c r="AB148" s="2"/>
    </row>
    <row r="149" spans="2:28" ht="3" customHeight="1">
      <c r="B149" s="2" t="s">
        <v>93</v>
      </c>
      <c r="D149" s="2" t="s">
        <v>93</v>
      </c>
      <c r="F149" s="2" t="s">
        <v>93</v>
      </c>
      <c r="H149" s="2" t="s">
        <v>93</v>
      </c>
      <c r="J149" s="2" t="s">
        <v>93</v>
      </c>
      <c r="L149" s="2" t="s">
        <v>93</v>
      </c>
      <c r="N149" s="2" t="s">
        <v>93</v>
      </c>
      <c r="P149" s="2"/>
      <c r="Q149" s="5"/>
      <c r="R149" s="2"/>
      <c r="S149" s="5"/>
      <c r="T149" s="2"/>
      <c r="U149" s="5"/>
      <c r="V149" s="2"/>
      <c r="W149" s="5"/>
      <c r="X149" s="2"/>
      <c r="Y149" s="5"/>
      <c r="Z149" s="2"/>
      <c r="AA149" s="5"/>
      <c r="AB149" s="2"/>
    </row>
    <row r="150" spans="2:28" ht="4" customHeight="1">
      <c r="B150" s="2" t="s">
        <v>15</v>
      </c>
      <c r="D150" s="2" t="s">
        <v>15</v>
      </c>
      <c r="F150" s="2" t="s">
        <v>15</v>
      </c>
      <c r="H150" s="2" t="s">
        <v>15</v>
      </c>
      <c r="J150" s="2" t="s">
        <v>15</v>
      </c>
      <c r="L150" s="2" t="s">
        <v>15</v>
      </c>
      <c r="N150" s="2" t="s">
        <v>15</v>
      </c>
      <c r="P150" s="2"/>
      <c r="Q150" s="5"/>
      <c r="R150" s="2"/>
      <c r="S150" s="5"/>
      <c r="T150" s="2"/>
      <c r="U150" s="5"/>
      <c r="V150" s="2"/>
      <c r="W150" s="5"/>
      <c r="X150" s="2"/>
      <c r="Y150" s="5"/>
      <c r="Z150" s="2"/>
      <c r="AA150" s="5"/>
      <c r="AB150" s="2"/>
    </row>
    <row r="151" spans="2:28" ht="4" customHeight="1">
      <c r="B151" s="2" t="s">
        <v>94</v>
      </c>
      <c r="D151" s="2" t="s">
        <v>94</v>
      </c>
      <c r="F151" s="2" t="s">
        <v>94</v>
      </c>
      <c r="H151" s="2" t="s">
        <v>94</v>
      </c>
      <c r="J151" s="2" t="s">
        <v>94</v>
      </c>
      <c r="L151" s="2" t="s">
        <v>94</v>
      </c>
      <c r="N151" s="2" t="s">
        <v>94</v>
      </c>
      <c r="P151" s="2"/>
      <c r="Q151" s="5"/>
      <c r="R151" s="2"/>
      <c r="S151" s="5"/>
      <c r="T151" s="2"/>
      <c r="U151" s="5"/>
      <c r="V151" s="2"/>
      <c r="W151" s="5"/>
      <c r="X151" s="2"/>
      <c r="Y151" s="5"/>
      <c r="Z151" s="2"/>
      <c r="AA151" s="5"/>
      <c r="AB151" s="2"/>
    </row>
    <row r="152" spans="2:28" ht="1" customHeight="1">
      <c r="B152" s="1"/>
      <c r="D152" s="1"/>
      <c r="F152" s="1"/>
      <c r="H152" s="1"/>
      <c r="J152" s="1"/>
      <c r="L152" s="1"/>
      <c r="N152" s="1"/>
      <c r="P152" s="1"/>
      <c r="Q152" s="5"/>
      <c r="R152" s="1"/>
      <c r="S152" s="5"/>
      <c r="T152" s="1"/>
      <c r="U152" s="5"/>
      <c r="V152" s="1"/>
      <c r="W152" s="5"/>
      <c r="X152" s="1"/>
      <c r="Y152" s="5"/>
      <c r="Z152" s="1"/>
      <c r="AA152" s="5"/>
      <c r="AB152" s="1"/>
    </row>
    <row r="153" spans="2:28" ht="4" customHeight="1">
      <c r="B153" s="1" t="s">
        <v>95</v>
      </c>
      <c r="D153" s="1" t="s">
        <v>95</v>
      </c>
      <c r="F153" s="1" t="s">
        <v>95</v>
      </c>
      <c r="H153" s="1" t="s">
        <v>95</v>
      </c>
      <c r="J153" s="1" t="s">
        <v>95</v>
      </c>
      <c r="L153" s="1" t="s">
        <v>95</v>
      </c>
      <c r="N153" s="1" t="s">
        <v>95</v>
      </c>
      <c r="P153" s="1"/>
      <c r="Q153" s="5"/>
      <c r="R153" s="1"/>
      <c r="S153" s="5"/>
      <c r="T153" s="1"/>
      <c r="U153" s="5"/>
      <c r="V153" s="1"/>
      <c r="W153" s="5"/>
      <c r="X153" s="1"/>
      <c r="Y153" s="5"/>
      <c r="Z153" s="1"/>
      <c r="AA153" s="5"/>
      <c r="AB153" s="1"/>
    </row>
    <row r="154" spans="2:28" ht="4" customHeight="1">
      <c r="B154" s="1" t="s">
        <v>96</v>
      </c>
      <c r="D154" s="1" t="s">
        <v>96</v>
      </c>
      <c r="F154" s="1" t="s">
        <v>96</v>
      </c>
      <c r="H154" s="1" t="s">
        <v>96</v>
      </c>
      <c r="J154" s="1" t="s">
        <v>96</v>
      </c>
      <c r="L154" s="1" t="s">
        <v>96</v>
      </c>
      <c r="N154" s="1" t="s">
        <v>96</v>
      </c>
      <c r="P154" s="1"/>
      <c r="Q154" s="5"/>
      <c r="R154" s="1"/>
      <c r="S154" s="5"/>
      <c r="T154" s="1"/>
      <c r="U154" s="5"/>
      <c r="V154" s="1"/>
      <c r="W154" s="5"/>
      <c r="X154" s="1"/>
      <c r="Y154" s="5"/>
      <c r="Z154" s="1"/>
      <c r="AA154" s="5"/>
      <c r="AB154" s="1"/>
    </row>
    <row r="155" spans="2:28" ht="4" customHeight="1">
      <c r="B155" s="9" t="s">
        <v>97</v>
      </c>
      <c r="D155" s="9" t="s">
        <v>97</v>
      </c>
      <c r="F155" s="9" t="s">
        <v>97</v>
      </c>
      <c r="H155" s="9" t="s">
        <v>97</v>
      </c>
      <c r="J155" s="9" t="s">
        <v>97</v>
      </c>
      <c r="L155" s="9" t="s">
        <v>97</v>
      </c>
      <c r="N155" s="9" t="s">
        <v>97</v>
      </c>
      <c r="P155" s="4"/>
      <c r="Q155" s="5"/>
      <c r="R155" s="4"/>
      <c r="S155" s="5"/>
      <c r="T155" s="4"/>
      <c r="U155" s="5"/>
      <c r="V155" s="4"/>
      <c r="W155" s="5"/>
      <c r="X155" s="4"/>
      <c r="Y155" s="5"/>
      <c r="Z155" s="4"/>
      <c r="AA155" s="5"/>
      <c r="AB155" s="4"/>
    </row>
    <row r="156" spans="2:28" ht="4" customHeight="1">
      <c r="B156" s="2" t="s">
        <v>98</v>
      </c>
      <c r="D156" s="2" t="s">
        <v>98</v>
      </c>
      <c r="F156" s="2" t="s">
        <v>98</v>
      </c>
      <c r="H156" s="2" t="s">
        <v>98</v>
      </c>
      <c r="J156" s="2" t="s">
        <v>98</v>
      </c>
      <c r="L156" s="2" t="s">
        <v>98</v>
      </c>
      <c r="N156" s="2" t="s">
        <v>98</v>
      </c>
      <c r="P156" s="2"/>
      <c r="Q156" s="5"/>
      <c r="R156" s="2"/>
      <c r="S156" s="5"/>
      <c r="T156" s="2"/>
      <c r="U156" s="5"/>
      <c r="V156" s="2"/>
      <c r="W156" s="5"/>
      <c r="X156" s="2"/>
      <c r="Y156" s="5"/>
      <c r="Z156" s="2"/>
      <c r="AA156" s="5"/>
      <c r="AB156" s="2"/>
    </row>
    <row r="157" spans="2:28" ht="3" customHeight="1">
      <c r="B157" s="2" t="s">
        <v>99</v>
      </c>
      <c r="D157" s="2" t="s">
        <v>99</v>
      </c>
      <c r="F157" s="2" t="s">
        <v>99</v>
      </c>
      <c r="H157" s="2" t="s">
        <v>99</v>
      </c>
      <c r="J157" s="2" t="s">
        <v>99</v>
      </c>
      <c r="L157" s="2" t="s">
        <v>99</v>
      </c>
      <c r="N157" s="2" t="s">
        <v>99</v>
      </c>
      <c r="P157" s="2"/>
      <c r="Q157" s="5"/>
      <c r="R157" s="2"/>
      <c r="S157" s="5"/>
      <c r="T157" s="2"/>
      <c r="U157" s="5"/>
      <c r="V157" s="2"/>
      <c r="W157" s="5"/>
      <c r="X157" s="2"/>
      <c r="Y157" s="5"/>
      <c r="Z157" s="2"/>
      <c r="AA157" s="5"/>
      <c r="AB157" s="2"/>
    </row>
    <row r="158" spans="2:28" ht="4" customHeight="1">
      <c r="B158" s="2" t="s">
        <v>15</v>
      </c>
      <c r="D158" s="2" t="s">
        <v>15</v>
      </c>
      <c r="F158" s="2" t="s">
        <v>15</v>
      </c>
      <c r="H158" s="2" t="s">
        <v>15</v>
      </c>
      <c r="J158" s="2" t="s">
        <v>15</v>
      </c>
      <c r="L158" s="2" t="s">
        <v>15</v>
      </c>
      <c r="N158" s="2" t="s">
        <v>15</v>
      </c>
      <c r="P158" s="2"/>
      <c r="Q158" s="5"/>
      <c r="R158" s="2"/>
      <c r="S158" s="5"/>
      <c r="T158" s="2"/>
      <c r="U158" s="5"/>
      <c r="V158" s="2"/>
      <c r="W158" s="5"/>
      <c r="X158" s="2"/>
      <c r="Y158" s="5"/>
      <c r="Z158" s="2"/>
      <c r="AA158" s="5"/>
      <c r="AB158" s="2"/>
    </row>
    <row r="159" spans="2:28" ht="4" customHeight="1">
      <c r="B159" s="2" t="s">
        <v>100</v>
      </c>
      <c r="D159" s="2" t="s">
        <v>100</v>
      </c>
      <c r="F159" s="2" t="s">
        <v>100</v>
      </c>
      <c r="H159" s="2" t="s">
        <v>100</v>
      </c>
      <c r="J159" s="2" t="s">
        <v>100</v>
      </c>
      <c r="L159" s="2" t="s">
        <v>100</v>
      </c>
      <c r="N159" s="2" t="s">
        <v>100</v>
      </c>
      <c r="P159" s="2"/>
      <c r="Q159" s="5"/>
      <c r="R159" s="2"/>
      <c r="S159" s="5"/>
      <c r="T159" s="2"/>
      <c r="U159" s="5"/>
      <c r="V159" s="2"/>
      <c r="W159" s="5"/>
      <c r="X159" s="2"/>
      <c r="Y159" s="5"/>
      <c r="Z159" s="2"/>
      <c r="AA159" s="5"/>
      <c r="AB159" s="2"/>
    </row>
    <row r="160" spans="2:28" ht="1" customHeight="1">
      <c r="B160" s="1"/>
      <c r="D160" s="1"/>
      <c r="F160" s="1"/>
      <c r="H160" s="1"/>
      <c r="J160" s="1"/>
      <c r="L160" s="1"/>
      <c r="N160" s="1"/>
      <c r="P160" s="1"/>
      <c r="Q160" s="5"/>
      <c r="R160" s="1"/>
      <c r="S160" s="5"/>
      <c r="T160" s="1"/>
      <c r="U160" s="5"/>
      <c r="V160" s="1"/>
      <c r="W160" s="5"/>
      <c r="X160" s="1"/>
      <c r="Y160" s="5"/>
      <c r="Z160" s="1"/>
      <c r="AA160" s="5"/>
      <c r="AB160" s="1"/>
    </row>
    <row r="161" spans="2:28" ht="4" customHeight="1">
      <c r="B161" s="1" t="s">
        <v>95</v>
      </c>
      <c r="D161" s="1" t="s">
        <v>95</v>
      </c>
      <c r="F161" s="1" t="s">
        <v>95</v>
      </c>
      <c r="H161" s="1" t="s">
        <v>95</v>
      </c>
      <c r="J161" s="1" t="s">
        <v>95</v>
      </c>
      <c r="L161" s="1" t="s">
        <v>95</v>
      </c>
      <c r="N161" s="1" t="s">
        <v>95</v>
      </c>
      <c r="P161" s="1"/>
      <c r="Q161" s="5"/>
      <c r="R161" s="1"/>
      <c r="S161" s="5"/>
      <c r="T161" s="1"/>
      <c r="U161" s="5"/>
      <c r="V161" s="1"/>
      <c r="W161" s="5"/>
      <c r="X161" s="1"/>
      <c r="Y161" s="5"/>
      <c r="Z161" s="1"/>
      <c r="AA161" s="5"/>
      <c r="AB161" s="1"/>
    </row>
    <row r="162" spans="2:28" ht="4" customHeight="1">
      <c r="B162" s="1" t="s">
        <v>96</v>
      </c>
      <c r="D162" s="1" t="s">
        <v>96</v>
      </c>
      <c r="F162" s="1" t="s">
        <v>96</v>
      </c>
      <c r="H162" s="1" t="s">
        <v>96</v>
      </c>
      <c r="J162" s="1" t="s">
        <v>96</v>
      </c>
      <c r="L162" s="1" t="s">
        <v>96</v>
      </c>
      <c r="N162" s="1" t="s">
        <v>96</v>
      </c>
      <c r="P162" s="1"/>
      <c r="Q162" s="5"/>
      <c r="R162" s="1"/>
      <c r="S162" s="5"/>
      <c r="T162" s="1"/>
      <c r="U162" s="5"/>
      <c r="V162" s="1"/>
      <c r="W162" s="5"/>
      <c r="X162" s="1"/>
      <c r="Y162" s="5"/>
      <c r="Z162" s="1"/>
      <c r="AA162" s="5"/>
      <c r="AB162" s="1"/>
    </row>
    <row r="163" spans="2:28" ht="4" customHeight="1">
      <c r="B163" s="9" t="s">
        <v>97</v>
      </c>
      <c r="D163" s="9" t="s">
        <v>97</v>
      </c>
      <c r="F163" s="9" t="s">
        <v>97</v>
      </c>
      <c r="H163" s="9" t="s">
        <v>97</v>
      </c>
      <c r="J163" s="9" t="s">
        <v>97</v>
      </c>
      <c r="L163" s="9" t="s">
        <v>97</v>
      </c>
      <c r="N163" s="9" t="s">
        <v>97</v>
      </c>
      <c r="P163" s="4"/>
      <c r="Q163" s="5"/>
      <c r="R163" s="4"/>
      <c r="S163" s="5"/>
      <c r="T163" s="4"/>
      <c r="U163" s="5"/>
      <c r="V163" s="4"/>
      <c r="W163" s="5"/>
      <c r="X163" s="4"/>
      <c r="Y163" s="5"/>
      <c r="Z163" s="4"/>
      <c r="AA163" s="5"/>
      <c r="AB163" s="4"/>
    </row>
    <row r="164" spans="2:28" ht="4" customHeight="1">
      <c r="B164" s="2" t="s">
        <v>98</v>
      </c>
      <c r="D164" s="2" t="s">
        <v>98</v>
      </c>
      <c r="F164" s="2" t="s">
        <v>98</v>
      </c>
      <c r="H164" s="2" t="s">
        <v>98</v>
      </c>
      <c r="J164" s="2" t="s">
        <v>98</v>
      </c>
      <c r="L164" s="2" t="s">
        <v>98</v>
      </c>
      <c r="N164" s="2" t="s">
        <v>98</v>
      </c>
      <c r="P164" s="2"/>
      <c r="Q164" s="5"/>
      <c r="R164" s="2"/>
      <c r="S164" s="5"/>
      <c r="T164" s="2"/>
      <c r="U164" s="5"/>
      <c r="V164" s="2"/>
      <c r="W164" s="5"/>
      <c r="X164" s="2"/>
      <c r="Y164" s="5"/>
      <c r="Z164" s="2"/>
      <c r="AA164" s="5"/>
      <c r="AB164" s="2"/>
    </row>
    <row r="165" spans="2:28" ht="3" customHeight="1">
      <c r="B165" s="2" t="s">
        <v>99</v>
      </c>
      <c r="D165" s="2" t="s">
        <v>99</v>
      </c>
      <c r="F165" s="2" t="s">
        <v>99</v>
      </c>
      <c r="H165" s="2" t="s">
        <v>99</v>
      </c>
      <c r="J165" s="2" t="s">
        <v>99</v>
      </c>
      <c r="L165" s="2" t="s">
        <v>99</v>
      </c>
      <c r="N165" s="2" t="s">
        <v>99</v>
      </c>
      <c r="P165" s="2"/>
      <c r="Q165" s="5"/>
      <c r="R165" s="2"/>
      <c r="S165" s="5"/>
      <c r="T165" s="2"/>
      <c r="U165" s="5"/>
      <c r="V165" s="2"/>
      <c r="W165" s="5"/>
      <c r="X165" s="2"/>
      <c r="Y165" s="5"/>
      <c r="Z165" s="2"/>
      <c r="AA165" s="5"/>
      <c r="AB165" s="2"/>
    </row>
    <row r="166" spans="2:28" ht="4" customHeight="1">
      <c r="B166" s="2" t="s">
        <v>15</v>
      </c>
      <c r="D166" s="2" t="s">
        <v>15</v>
      </c>
      <c r="F166" s="2" t="s">
        <v>15</v>
      </c>
      <c r="H166" s="2" t="s">
        <v>15</v>
      </c>
      <c r="J166" s="2" t="s">
        <v>15</v>
      </c>
      <c r="L166" s="2" t="s">
        <v>15</v>
      </c>
      <c r="N166" s="2" t="s">
        <v>15</v>
      </c>
      <c r="P166" s="2"/>
      <c r="Q166" s="5"/>
      <c r="R166" s="2"/>
      <c r="S166" s="5"/>
      <c r="T166" s="2"/>
      <c r="U166" s="5"/>
      <c r="V166" s="2"/>
      <c r="W166" s="5"/>
      <c r="X166" s="2"/>
      <c r="Y166" s="5"/>
      <c r="Z166" s="2"/>
      <c r="AA166" s="5"/>
      <c r="AB166" s="2"/>
    </row>
    <row r="167" spans="2:28" ht="4" customHeight="1">
      <c r="B167" s="2" t="s">
        <v>100</v>
      </c>
      <c r="D167" s="2" t="s">
        <v>100</v>
      </c>
      <c r="F167" s="2" t="s">
        <v>100</v>
      </c>
      <c r="H167" s="2" t="s">
        <v>100</v>
      </c>
      <c r="J167" s="2" t="s">
        <v>100</v>
      </c>
      <c r="L167" s="2" t="s">
        <v>100</v>
      </c>
      <c r="N167" s="2" t="s">
        <v>100</v>
      </c>
      <c r="P167" s="2"/>
      <c r="Q167" s="5"/>
      <c r="R167" s="2"/>
      <c r="S167" s="5"/>
      <c r="T167" s="2"/>
      <c r="U167" s="5"/>
      <c r="V167" s="2"/>
      <c r="W167" s="5"/>
      <c r="X167" s="2"/>
      <c r="Y167" s="5"/>
      <c r="Z167" s="2"/>
      <c r="AA167" s="5"/>
      <c r="AB167" s="2"/>
    </row>
    <row r="168" spans="2:28" ht="1" customHeight="1">
      <c r="B168" s="1"/>
      <c r="D168" s="1"/>
      <c r="F168" s="1"/>
      <c r="H168" s="1"/>
      <c r="J168" s="1"/>
      <c r="L168" s="1"/>
      <c r="N168" s="1"/>
      <c r="P168" s="1"/>
      <c r="Q168" s="5"/>
      <c r="R168" s="1"/>
      <c r="S168" s="5"/>
      <c r="T168" s="1"/>
      <c r="U168" s="5"/>
      <c r="V168" s="1"/>
      <c r="W168" s="5"/>
      <c r="X168" s="1"/>
      <c r="Y168" s="5"/>
      <c r="Z168" s="1"/>
      <c r="AA168" s="5"/>
      <c r="AB168" s="1"/>
    </row>
    <row r="169" spans="2:28" ht="4" customHeight="1">
      <c r="B169" s="1" t="s">
        <v>95</v>
      </c>
      <c r="D169" s="1" t="s">
        <v>95</v>
      </c>
      <c r="F169" s="1" t="s">
        <v>95</v>
      </c>
      <c r="H169" s="1" t="s">
        <v>95</v>
      </c>
      <c r="J169" s="1" t="s">
        <v>95</v>
      </c>
      <c r="L169" s="1" t="s">
        <v>95</v>
      </c>
      <c r="N169" s="1" t="s">
        <v>95</v>
      </c>
      <c r="P169" s="1"/>
      <c r="Q169" s="5"/>
      <c r="R169" s="1"/>
      <c r="S169" s="5"/>
      <c r="T169" s="1"/>
      <c r="U169" s="5"/>
      <c r="V169" s="1"/>
      <c r="W169" s="5"/>
      <c r="X169" s="1"/>
      <c r="Y169" s="5"/>
      <c r="Z169" s="1"/>
      <c r="AA169" s="5"/>
      <c r="AB169" s="1"/>
    </row>
    <row r="170" spans="2:28" ht="4" customHeight="1">
      <c r="B170" s="1" t="s">
        <v>96</v>
      </c>
      <c r="D170" s="1" t="s">
        <v>96</v>
      </c>
      <c r="F170" s="1" t="s">
        <v>96</v>
      </c>
      <c r="H170" s="1" t="s">
        <v>96</v>
      </c>
      <c r="J170" s="1" t="s">
        <v>96</v>
      </c>
      <c r="L170" s="1" t="s">
        <v>96</v>
      </c>
      <c r="N170" s="1" t="s">
        <v>96</v>
      </c>
      <c r="P170" s="1"/>
      <c r="Q170" s="5"/>
      <c r="R170" s="1"/>
      <c r="S170" s="5"/>
      <c r="T170" s="1"/>
      <c r="U170" s="5"/>
      <c r="V170" s="1"/>
      <c r="W170" s="5"/>
      <c r="X170" s="1"/>
      <c r="Y170" s="5"/>
      <c r="Z170" s="1"/>
      <c r="AA170" s="5"/>
      <c r="AB170" s="1"/>
    </row>
    <row r="171" spans="2:28" ht="4" customHeight="1">
      <c r="B171" s="9" t="s">
        <v>97</v>
      </c>
      <c r="D171" s="9" t="s">
        <v>97</v>
      </c>
      <c r="F171" s="9" t="s">
        <v>97</v>
      </c>
      <c r="H171" s="9" t="s">
        <v>97</v>
      </c>
      <c r="J171" s="9" t="s">
        <v>97</v>
      </c>
      <c r="L171" s="9" t="s">
        <v>97</v>
      </c>
      <c r="N171" s="9" t="s">
        <v>97</v>
      </c>
      <c r="P171" s="4"/>
      <c r="Q171" s="5"/>
      <c r="R171" s="4"/>
      <c r="S171" s="5"/>
      <c r="T171" s="4"/>
      <c r="U171" s="5"/>
      <c r="V171" s="4"/>
      <c r="W171" s="5"/>
      <c r="X171" s="4"/>
      <c r="Y171" s="5"/>
      <c r="Z171" s="4"/>
      <c r="AA171" s="5"/>
      <c r="AB171" s="4"/>
    </row>
    <row r="172" spans="2:28" ht="4" customHeight="1">
      <c r="B172" s="2" t="s">
        <v>98</v>
      </c>
      <c r="D172" s="2" t="s">
        <v>98</v>
      </c>
      <c r="F172" s="2" t="s">
        <v>98</v>
      </c>
      <c r="H172" s="2" t="s">
        <v>98</v>
      </c>
      <c r="J172" s="2" t="s">
        <v>98</v>
      </c>
      <c r="L172" s="2" t="s">
        <v>98</v>
      </c>
      <c r="N172" s="2" t="s">
        <v>98</v>
      </c>
      <c r="P172" s="2"/>
      <c r="Q172" s="5"/>
      <c r="R172" s="2"/>
      <c r="S172" s="5"/>
      <c r="T172" s="2"/>
      <c r="U172" s="5"/>
      <c r="V172" s="2"/>
      <c r="W172" s="5"/>
      <c r="X172" s="2"/>
      <c r="Y172" s="5"/>
      <c r="Z172" s="2"/>
      <c r="AA172" s="5"/>
      <c r="AB172" s="2"/>
    </row>
    <row r="173" spans="2:28" ht="3" customHeight="1">
      <c r="B173" s="2" t="s">
        <v>99</v>
      </c>
      <c r="D173" s="2" t="s">
        <v>99</v>
      </c>
      <c r="F173" s="2" t="s">
        <v>99</v>
      </c>
      <c r="H173" s="2" t="s">
        <v>99</v>
      </c>
      <c r="J173" s="2" t="s">
        <v>99</v>
      </c>
      <c r="L173" s="2" t="s">
        <v>99</v>
      </c>
      <c r="N173" s="2" t="s">
        <v>99</v>
      </c>
      <c r="P173" s="2"/>
      <c r="Q173" s="5"/>
      <c r="R173" s="2"/>
      <c r="S173" s="5"/>
      <c r="T173" s="2"/>
      <c r="U173" s="5"/>
      <c r="V173" s="2"/>
      <c r="W173" s="5"/>
      <c r="X173" s="2"/>
      <c r="Y173" s="5"/>
      <c r="Z173" s="2"/>
      <c r="AA173" s="5"/>
      <c r="AB173" s="2"/>
    </row>
    <row r="174" spans="2:28" ht="4" customHeight="1">
      <c r="B174" s="2" t="s">
        <v>15</v>
      </c>
      <c r="D174" s="2" t="s">
        <v>15</v>
      </c>
      <c r="F174" s="2" t="s">
        <v>15</v>
      </c>
      <c r="H174" s="2" t="s">
        <v>15</v>
      </c>
      <c r="J174" s="2" t="s">
        <v>15</v>
      </c>
      <c r="L174" s="2" t="s">
        <v>15</v>
      </c>
      <c r="N174" s="2" t="s">
        <v>15</v>
      </c>
      <c r="P174" s="2"/>
      <c r="Q174" s="5"/>
      <c r="R174" s="2"/>
      <c r="S174" s="5"/>
      <c r="T174" s="2"/>
      <c r="U174" s="5"/>
      <c r="V174" s="2"/>
      <c r="W174" s="5"/>
      <c r="X174" s="2"/>
      <c r="Y174" s="5"/>
      <c r="Z174" s="2"/>
      <c r="AA174" s="5"/>
      <c r="AB174" s="2"/>
    </row>
    <row r="175" spans="2:28" ht="4" customHeight="1">
      <c r="B175" s="2" t="s">
        <v>100</v>
      </c>
      <c r="D175" s="2" t="s">
        <v>100</v>
      </c>
      <c r="F175" s="2" t="s">
        <v>100</v>
      </c>
      <c r="H175" s="2" t="s">
        <v>100</v>
      </c>
      <c r="J175" s="2" t="s">
        <v>100</v>
      </c>
      <c r="L175" s="2" t="s">
        <v>100</v>
      </c>
      <c r="N175" s="2" t="s">
        <v>100</v>
      </c>
      <c r="P175" s="2"/>
      <c r="Q175" s="5"/>
      <c r="R175" s="2"/>
      <c r="S175" s="5"/>
      <c r="T175" s="2"/>
      <c r="U175" s="5"/>
      <c r="V175" s="2"/>
      <c r="W175" s="5"/>
      <c r="X175" s="2"/>
      <c r="Y175" s="5"/>
      <c r="Z175" s="2"/>
      <c r="AA175" s="5"/>
      <c r="AB175" s="2"/>
    </row>
    <row r="176" spans="2:28" ht="1" customHeight="1">
      <c r="B176" s="1"/>
      <c r="D176" s="1"/>
      <c r="F176" s="1"/>
      <c r="H176" s="1"/>
      <c r="J176" s="1"/>
      <c r="L176" s="1"/>
      <c r="N176" s="1"/>
      <c r="P176" s="1"/>
      <c r="Q176" s="5"/>
      <c r="R176" s="1"/>
      <c r="S176" s="5"/>
      <c r="T176" s="1"/>
      <c r="U176" s="5"/>
      <c r="V176" s="1"/>
      <c r="W176" s="5"/>
      <c r="X176" s="1"/>
      <c r="Y176" s="5"/>
      <c r="Z176" s="1"/>
      <c r="AA176" s="5"/>
      <c r="AB176" s="1"/>
    </row>
    <row r="177" spans="2:28" ht="4" customHeight="1">
      <c r="B177" s="1" t="s">
        <v>101</v>
      </c>
      <c r="D177" s="1" t="s">
        <v>101</v>
      </c>
      <c r="F177" s="1" t="s">
        <v>101</v>
      </c>
      <c r="H177" s="1" t="s">
        <v>101</v>
      </c>
      <c r="J177" s="1" t="s">
        <v>101</v>
      </c>
      <c r="L177" s="1" t="s">
        <v>101</v>
      </c>
      <c r="N177" s="1" t="s">
        <v>101</v>
      </c>
      <c r="P177" s="1"/>
      <c r="Q177" s="5"/>
      <c r="R177" s="1"/>
      <c r="S177" s="5"/>
      <c r="T177" s="1"/>
      <c r="U177" s="5"/>
      <c r="V177" s="1"/>
      <c r="W177" s="5"/>
      <c r="X177" s="1"/>
      <c r="Y177" s="5"/>
      <c r="Z177" s="1"/>
      <c r="AA177" s="5"/>
      <c r="AB177" s="1"/>
    </row>
    <row r="178" spans="2:28" ht="4" customHeight="1">
      <c r="B178" s="1" t="s">
        <v>96</v>
      </c>
      <c r="D178" s="1" t="s">
        <v>96</v>
      </c>
      <c r="F178" s="1" t="s">
        <v>96</v>
      </c>
      <c r="H178" s="1" t="s">
        <v>96</v>
      </c>
      <c r="J178" s="1" t="s">
        <v>96</v>
      </c>
      <c r="L178" s="1" t="s">
        <v>96</v>
      </c>
      <c r="N178" s="1" t="s">
        <v>96</v>
      </c>
      <c r="P178" s="1"/>
      <c r="Q178" s="5"/>
      <c r="R178" s="1"/>
      <c r="S178" s="5"/>
      <c r="T178" s="1"/>
      <c r="U178" s="5"/>
      <c r="V178" s="1"/>
      <c r="W178" s="5"/>
      <c r="X178" s="1"/>
      <c r="Y178" s="5"/>
      <c r="Z178" s="1"/>
      <c r="AA178" s="5"/>
      <c r="AB178" s="1"/>
    </row>
    <row r="179" spans="2:28" ht="4" customHeight="1">
      <c r="B179" s="10" t="s">
        <v>102</v>
      </c>
      <c r="D179" s="10" t="s">
        <v>102</v>
      </c>
      <c r="F179" s="10" t="s">
        <v>102</v>
      </c>
      <c r="H179" s="10" t="s">
        <v>102</v>
      </c>
      <c r="J179" s="10" t="s">
        <v>102</v>
      </c>
      <c r="L179" s="10" t="s">
        <v>102</v>
      </c>
      <c r="N179" s="10" t="s">
        <v>102</v>
      </c>
      <c r="P179" s="4"/>
      <c r="Q179" s="5"/>
      <c r="R179" s="4"/>
      <c r="S179" s="5"/>
      <c r="T179" s="4"/>
      <c r="U179" s="5"/>
      <c r="V179" s="4"/>
      <c r="W179" s="5"/>
      <c r="X179" s="4"/>
      <c r="Y179" s="5"/>
      <c r="Z179" s="4"/>
      <c r="AA179" s="5"/>
      <c r="AB179" s="4"/>
    </row>
    <row r="180" spans="2:28" ht="4" customHeight="1">
      <c r="B180" s="2" t="s">
        <v>103</v>
      </c>
      <c r="D180" s="2" t="s">
        <v>103</v>
      </c>
      <c r="F180" s="2" t="s">
        <v>103</v>
      </c>
      <c r="H180" s="2" t="s">
        <v>103</v>
      </c>
      <c r="J180" s="2" t="s">
        <v>103</v>
      </c>
      <c r="L180" s="2" t="s">
        <v>103</v>
      </c>
      <c r="N180" s="2" t="s">
        <v>103</v>
      </c>
      <c r="P180" s="2"/>
      <c r="Q180" s="5"/>
      <c r="R180" s="2"/>
      <c r="S180" s="5"/>
      <c r="T180" s="2"/>
      <c r="U180" s="5"/>
      <c r="V180" s="2"/>
      <c r="W180" s="5"/>
      <c r="X180" s="2"/>
      <c r="Y180" s="5"/>
      <c r="Z180" s="2"/>
      <c r="AA180" s="5"/>
      <c r="AB180" s="2"/>
    </row>
    <row r="181" spans="2:28" ht="3" customHeight="1">
      <c r="B181" s="2" t="s">
        <v>104</v>
      </c>
      <c r="D181" s="2" t="s">
        <v>104</v>
      </c>
      <c r="F181" s="2" t="s">
        <v>104</v>
      </c>
      <c r="H181" s="2" t="s">
        <v>104</v>
      </c>
      <c r="J181" s="2" t="s">
        <v>104</v>
      </c>
      <c r="L181" s="2" t="s">
        <v>104</v>
      </c>
      <c r="N181" s="2" t="s">
        <v>104</v>
      </c>
      <c r="P181" s="2"/>
      <c r="Q181" s="5"/>
      <c r="R181" s="2"/>
      <c r="S181" s="5"/>
      <c r="T181" s="2"/>
      <c r="U181" s="5"/>
      <c r="V181" s="2"/>
      <c r="W181" s="5"/>
      <c r="X181" s="2"/>
      <c r="Y181" s="5"/>
      <c r="Z181" s="2"/>
      <c r="AA181" s="5"/>
      <c r="AB181" s="2"/>
    </row>
    <row r="182" spans="2:28" ht="4" customHeight="1">
      <c r="B182" s="2" t="s">
        <v>15</v>
      </c>
      <c r="D182" s="2" t="s">
        <v>15</v>
      </c>
      <c r="F182" s="2" t="s">
        <v>15</v>
      </c>
      <c r="H182" s="2" t="s">
        <v>15</v>
      </c>
      <c r="J182" s="2" t="s">
        <v>15</v>
      </c>
      <c r="L182" s="2" t="s">
        <v>15</v>
      </c>
      <c r="N182" s="2" t="s">
        <v>15</v>
      </c>
      <c r="P182" s="2"/>
      <c r="Q182" s="5"/>
      <c r="R182" s="2"/>
      <c r="S182" s="5"/>
      <c r="T182" s="2"/>
      <c r="U182" s="5"/>
      <c r="V182" s="2"/>
      <c r="W182" s="5"/>
      <c r="X182" s="2"/>
      <c r="Y182" s="5"/>
      <c r="Z182" s="2"/>
      <c r="AA182" s="5"/>
      <c r="AB182" s="2"/>
    </row>
    <row r="183" spans="2:28" ht="4" customHeight="1">
      <c r="B183" s="2" t="s">
        <v>105</v>
      </c>
      <c r="D183" s="2" t="s">
        <v>105</v>
      </c>
      <c r="F183" s="2" t="s">
        <v>105</v>
      </c>
      <c r="H183" s="2" t="s">
        <v>105</v>
      </c>
      <c r="J183" s="2" t="s">
        <v>105</v>
      </c>
      <c r="L183" s="2" t="s">
        <v>105</v>
      </c>
      <c r="N183" s="2" t="s">
        <v>105</v>
      </c>
      <c r="P183" s="2"/>
      <c r="Q183" s="5"/>
      <c r="R183" s="2"/>
      <c r="S183" s="5"/>
      <c r="T183" s="2"/>
      <c r="U183" s="5"/>
      <c r="V183" s="2"/>
      <c r="W183" s="5"/>
      <c r="X183" s="2"/>
      <c r="Y183" s="5"/>
      <c r="Z183" s="2"/>
      <c r="AA183" s="5"/>
      <c r="AB183" s="2"/>
    </row>
    <row r="184" spans="2:28" ht="1" customHeight="1">
      <c r="B184" s="1"/>
      <c r="D184" s="1"/>
      <c r="F184" s="1"/>
      <c r="H184" s="1"/>
      <c r="J184" s="1"/>
      <c r="L184" s="1"/>
      <c r="N184" s="1"/>
      <c r="P184" s="1"/>
      <c r="Q184" s="5"/>
      <c r="R184" s="1"/>
      <c r="S184" s="5"/>
      <c r="T184" s="1"/>
      <c r="U184" s="5"/>
      <c r="V184" s="1"/>
      <c r="W184" s="5"/>
      <c r="X184" s="1"/>
      <c r="Y184" s="5"/>
      <c r="Z184" s="1"/>
      <c r="AA184" s="5"/>
      <c r="AB184" s="1"/>
    </row>
    <row r="185" spans="2:28" ht="4" customHeight="1">
      <c r="B185" s="1" t="s">
        <v>101</v>
      </c>
      <c r="D185" s="1" t="s">
        <v>101</v>
      </c>
      <c r="F185" s="1" t="s">
        <v>101</v>
      </c>
      <c r="H185" s="1" t="s">
        <v>101</v>
      </c>
      <c r="J185" s="1" t="s">
        <v>101</v>
      </c>
      <c r="L185" s="1" t="s">
        <v>101</v>
      </c>
      <c r="N185" s="1" t="s">
        <v>101</v>
      </c>
      <c r="P185" s="1"/>
      <c r="Q185" s="5"/>
      <c r="R185" s="1"/>
      <c r="S185" s="5"/>
      <c r="T185" s="1"/>
      <c r="U185" s="5"/>
      <c r="V185" s="1"/>
      <c r="W185" s="5"/>
      <c r="X185" s="1"/>
      <c r="Y185" s="5"/>
      <c r="Z185" s="1"/>
      <c r="AA185" s="5"/>
      <c r="AB185" s="1"/>
    </row>
    <row r="186" spans="2:28" ht="4" customHeight="1">
      <c r="B186" s="1" t="s">
        <v>96</v>
      </c>
      <c r="D186" s="1" t="s">
        <v>96</v>
      </c>
      <c r="F186" s="1" t="s">
        <v>96</v>
      </c>
      <c r="H186" s="1" t="s">
        <v>96</v>
      </c>
      <c r="J186" s="1" t="s">
        <v>96</v>
      </c>
      <c r="L186" s="1" t="s">
        <v>96</v>
      </c>
      <c r="N186" s="1" t="s">
        <v>96</v>
      </c>
      <c r="P186" s="1"/>
      <c r="Q186" s="5"/>
      <c r="R186" s="1"/>
      <c r="S186" s="5"/>
      <c r="T186" s="1"/>
      <c r="U186" s="5"/>
      <c r="V186" s="1"/>
      <c r="W186" s="5"/>
      <c r="X186" s="1"/>
      <c r="Y186" s="5"/>
      <c r="Z186" s="1"/>
      <c r="AA186" s="5"/>
      <c r="AB186" s="1"/>
    </row>
    <row r="187" spans="2:28" ht="4" customHeight="1">
      <c r="B187" s="10" t="s">
        <v>102</v>
      </c>
      <c r="D187" s="10" t="s">
        <v>102</v>
      </c>
      <c r="F187" s="10" t="s">
        <v>102</v>
      </c>
      <c r="H187" s="10" t="s">
        <v>102</v>
      </c>
      <c r="J187" s="10" t="s">
        <v>102</v>
      </c>
      <c r="L187" s="10" t="s">
        <v>102</v>
      </c>
      <c r="N187" s="10" t="s">
        <v>102</v>
      </c>
      <c r="P187" s="4"/>
      <c r="Q187" s="5"/>
      <c r="R187" s="4"/>
      <c r="S187" s="5"/>
      <c r="T187" s="4"/>
      <c r="U187" s="5"/>
      <c r="V187" s="4"/>
      <c r="W187" s="5"/>
      <c r="X187" s="4"/>
      <c r="Y187" s="5"/>
      <c r="Z187" s="4"/>
      <c r="AA187" s="5"/>
      <c r="AB187" s="4"/>
    </row>
    <row r="188" spans="2:28" ht="4" customHeight="1">
      <c r="B188" s="2" t="s">
        <v>103</v>
      </c>
      <c r="D188" s="2" t="s">
        <v>103</v>
      </c>
      <c r="F188" s="2" t="s">
        <v>103</v>
      </c>
      <c r="H188" s="2" t="s">
        <v>103</v>
      </c>
      <c r="J188" s="2" t="s">
        <v>103</v>
      </c>
      <c r="L188" s="2" t="s">
        <v>103</v>
      </c>
      <c r="N188" s="2" t="s">
        <v>103</v>
      </c>
      <c r="P188" s="2"/>
      <c r="Q188" s="5"/>
      <c r="R188" s="2"/>
      <c r="S188" s="5"/>
      <c r="T188" s="2"/>
      <c r="U188" s="5"/>
      <c r="V188" s="2"/>
      <c r="W188" s="5"/>
      <c r="X188" s="2"/>
      <c r="Y188" s="5"/>
      <c r="Z188" s="2"/>
      <c r="AA188" s="5"/>
      <c r="AB188" s="2"/>
    </row>
    <row r="189" spans="2:28" ht="3" customHeight="1">
      <c r="B189" s="2" t="s">
        <v>104</v>
      </c>
      <c r="D189" s="2" t="s">
        <v>104</v>
      </c>
      <c r="F189" s="2" t="s">
        <v>104</v>
      </c>
      <c r="H189" s="2" t="s">
        <v>104</v>
      </c>
      <c r="J189" s="2" t="s">
        <v>104</v>
      </c>
      <c r="L189" s="2" t="s">
        <v>104</v>
      </c>
      <c r="N189" s="2" t="s">
        <v>104</v>
      </c>
      <c r="P189" s="2"/>
      <c r="Q189" s="5"/>
      <c r="R189" s="2"/>
      <c r="S189" s="5"/>
      <c r="T189" s="2"/>
      <c r="U189" s="5"/>
      <c r="V189" s="2"/>
      <c r="W189" s="5"/>
      <c r="X189" s="2"/>
      <c r="Y189" s="5"/>
      <c r="Z189" s="2"/>
      <c r="AA189" s="5"/>
      <c r="AB189" s="2"/>
    </row>
    <row r="190" spans="2:28" ht="4" customHeight="1">
      <c r="B190" s="2" t="s">
        <v>15</v>
      </c>
      <c r="D190" s="2" t="s">
        <v>15</v>
      </c>
      <c r="F190" s="2" t="s">
        <v>15</v>
      </c>
      <c r="H190" s="2" t="s">
        <v>15</v>
      </c>
      <c r="J190" s="2" t="s">
        <v>15</v>
      </c>
      <c r="L190" s="2" t="s">
        <v>15</v>
      </c>
      <c r="N190" s="2" t="s">
        <v>15</v>
      </c>
      <c r="P190" s="2"/>
      <c r="Q190" s="5"/>
      <c r="R190" s="2"/>
      <c r="S190" s="5"/>
      <c r="T190" s="2"/>
      <c r="U190" s="5"/>
      <c r="V190" s="2"/>
      <c r="W190" s="5"/>
      <c r="X190" s="2"/>
      <c r="Y190" s="5"/>
      <c r="Z190" s="2"/>
      <c r="AA190" s="5"/>
      <c r="AB190" s="2"/>
    </row>
    <row r="191" spans="2:28" ht="4" customHeight="1">
      <c r="B191" s="2" t="s">
        <v>105</v>
      </c>
      <c r="D191" s="2" t="s">
        <v>105</v>
      </c>
      <c r="F191" s="2" t="s">
        <v>105</v>
      </c>
      <c r="H191" s="2" t="s">
        <v>105</v>
      </c>
      <c r="J191" s="2" t="s">
        <v>105</v>
      </c>
      <c r="L191" s="2" t="s">
        <v>105</v>
      </c>
      <c r="N191" s="2" t="s">
        <v>105</v>
      </c>
      <c r="P191" s="2"/>
      <c r="Q191" s="5"/>
      <c r="R191" s="2"/>
      <c r="S191" s="5"/>
      <c r="T191" s="2"/>
      <c r="U191" s="5"/>
      <c r="V191" s="2"/>
      <c r="W191" s="5"/>
      <c r="X191" s="2"/>
      <c r="Y191" s="5"/>
      <c r="Z191" s="2"/>
      <c r="AA191" s="5"/>
      <c r="AB191" s="2"/>
    </row>
    <row r="192" spans="2:28" ht="1" customHeight="1">
      <c r="B192" s="1"/>
      <c r="D192" s="1"/>
      <c r="F192" s="1"/>
      <c r="H192" s="1"/>
      <c r="J192" s="1"/>
      <c r="L192" s="1"/>
      <c r="N192" s="1"/>
      <c r="P192" s="1"/>
      <c r="Q192" s="5"/>
      <c r="R192" s="1"/>
      <c r="S192" s="5"/>
      <c r="T192" s="1"/>
      <c r="U192" s="5"/>
      <c r="V192" s="1"/>
      <c r="W192" s="5"/>
      <c r="X192" s="1"/>
      <c r="Y192" s="5"/>
      <c r="Z192" s="1"/>
      <c r="AA192" s="5"/>
      <c r="AB192" s="1"/>
    </row>
    <row r="193" spans="2:28" ht="4" customHeight="1">
      <c r="B193" s="1" t="s">
        <v>101</v>
      </c>
      <c r="D193" s="1" t="s">
        <v>101</v>
      </c>
      <c r="F193" s="1" t="s">
        <v>101</v>
      </c>
      <c r="H193" s="1" t="s">
        <v>101</v>
      </c>
      <c r="J193" s="1" t="s">
        <v>101</v>
      </c>
      <c r="L193" s="1" t="s">
        <v>101</v>
      </c>
      <c r="N193" s="1" t="s">
        <v>101</v>
      </c>
      <c r="P193" s="1"/>
      <c r="Q193" s="5"/>
      <c r="R193" s="1"/>
      <c r="S193" s="5"/>
      <c r="T193" s="1"/>
      <c r="U193" s="5"/>
      <c r="V193" s="1"/>
      <c r="W193" s="5"/>
      <c r="X193" s="1"/>
      <c r="Y193" s="5"/>
      <c r="Z193" s="1"/>
      <c r="AA193" s="5"/>
      <c r="AB193" s="1"/>
    </row>
    <row r="194" spans="2:28" ht="4" customHeight="1">
      <c r="B194" s="1" t="s">
        <v>96</v>
      </c>
      <c r="D194" s="1" t="s">
        <v>96</v>
      </c>
      <c r="F194" s="1" t="s">
        <v>96</v>
      </c>
      <c r="H194" s="1" t="s">
        <v>96</v>
      </c>
      <c r="J194" s="1" t="s">
        <v>96</v>
      </c>
      <c r="L194" s="1" t="s">
        <v>96</v>
      </c>
      <c r="N194" s="1" t="s">
        <v>96</v>
      </c>
      <c r="P194" s="1"/>
      <c r="Q194" s="5"/>
      <c r="R194" s="1"/>
      <c r="S194" s="5"/>
      <c r="T194" s="1"/>
      <c r="U194" s="5"/>
      <c r="V194" s="1"/>
      <c r="W194" s="5"/>
      <c r="X194" s="1"/>
      <c r="Y194" s="5"/>
      <c r="Z194" s="1"/>
      <c r="AA194" s="5"/>
      <c r="AB194" s="1"/>
    </row>
    <row r="195" spans="2:28" ht="4" customHeight="1">
      <c r="B195" s="10" t="s">
        <v>102</v>
      </c>
      <c r="D195" s="10" t="s">
        <v>102</v>
      </c>
      <c r="F195" s="10" t="s">
        <v>102</v>
      </c>
      <c r="H195" s="10" t="s">
        <v>102</v>
      </c>
      <c r="J195" s="10" t="s">
        <v>102</v>
      </c>
      <c r="L195" s="10" t="s">
        <v>102</v>
      </c>
      <c r="N195" s="10" t="s">
        <v>102</v>
      </c>
      <c r="P195" s="4"/>
      <c r="Q195" s="5"/>
      <c r="R195" s="4"/>
      <c r="S195" s="5"/>
      <c r="T195" s="4"/>
      <c r="U195" s="5"/>
      <c r="V195" s="4"/>
      <c r="W195" s="5"/>
      <c r="X195" s="4"/>
      <c r="Y195" s="5"/>
      <c r="Z195" s="4"/>
      <c r="AA195" s="5"/>
      <c r="AB195" s="4"/>
    </row>
    <row r="196" spans="2:28" ht="4" customHeight="1">
      <c r="B196" s="2" t="s">
        <v>103</v>
      </c>
      <c r="D196" s="2" t="s">
        <v>103</v>
      </c>
      <c r="F196" s="2" t="s">
        <v>103</v>
      </c>
      <c r="H196" s="2" t="s">
        <v>103</v>
      </c>
      <c r="J196" s="2" t="s">
        <v>103</v>
      </c>
      <c r="L196" s="2" t="s">
        <v>103</v>
      </c>
      <c r="N196" s="2" t="s">
        <v>103</v>
      </c>
      <c r="P196" s="2"/>
      <c r="Q196" s="5"/>
      <c r="R196" s="2"/>
      <c r="S196" s="5"/>
      <c r="T196" s="2"/>
      <c r="U196" s="5"/>
      <c r="V196" s="2"/>
      <c r="W196" s="5"/>
      <c r="X196" s="2"/>
      <c r="Y196" s="5"/>
      <c r="Z196" s="2"/>
      <c r="AA196" s="5"/>
      <c r="AB196" s="2"/>
    </row>
    <row r="197" spans="2:28" ht="3" customHeight="1">
      <c r="B197" s="2" t="s">
        <v>104</v>
      </c>
      <c r="D197" s="2" t="s">
        <v>104</v>
      </c>
      <c r="F197" s="2" t="s">
        <v>104</v>
      </c>
      <c r="H197" s="2" t="s">
        <v>104</v>
      </c>
      <c r="J197" s="2" t="s">
        <v>104</v>
      </c>
      <c r="L197" s="2" t="s">
        <v>104</v>
      </c>
      <c r="N197" s="2" t="s">
        <v>104</v>
      </c>
      <c r="P197" s="2"/>
      <c r="Q197" s="5"/>
      <c r="R197" s="2"/>
      <c r="S197" s="5"/>
      <c r="T197" s="2"/>
      <c r="U197" s="5"/>
      <c r="V197" s="2"/>
      <c r="W197" s="5"/>
      <c r="X197" s="2"/>
      <c r="Y197" s="5"/>
      <c r="Z197" s="2"/>
      <c r="AA197" s="5"/>
      <c r="AB197" s="2"/>
    </row>
    <row r="198" spans="2:28" ht="4" customHeight="1">
      <c r="B198" s="2" t="s">
        <v>15</v>
      </c>
      <c r="D198" s="2" t="s">
        <v>15</v>
      </c>
      <c r="F198" s="2" t="s">
        <v>15</v>
      </c>
      <c r="H198" s="2" t="s">
        <v>15</v>
      </c>
      <c r="J198" s="2" t="s">
        <v>15</v>
      </c>
      <c r="L198" s="2" t="s">
        <v>15</v>
      </c>
      <c r="N198" s="2" t="s">
        <v>15</v>
      </c>
      <c r="P198" s="2"/>
      <c r="Q198" s="5"/>
      <c r="R198" s="2"/>
      <c r="S198" s="5"/>
      <c r="T198" s="2"/>
      <c r="U198" s="5"/>
      <c r="V198" s="2"/>
      <c r="W198" s="5"/>
      <c r="X198" s="2"/>
      <c r="Y198" s="5"/>
      <c r="Z198" s="2"/>
      <c r="AA198" s="5"/>
      <c r="AB198" s="2"/>
    </row>
    <row r="199" spans="2:28" ht="4" customHeight="1">
      <c r="B199" s="2" t="s">
        <v>105</v>
      </c>
      <c r="D199" s="2" t="s">
        <v>105</v>
      </c>
      <c r="F199" s="2" t="s">
        <v>105</v>
      </c>
      <c r="H199" s="2" t="s">
        <v>105</v>
      </c>
      <c r="J199" s="2" t="s">
        <v>105</v>
      </c>
      <c r="L199" s="2" t="s">
        <v>105</v>
      </c>
      <c r="N199" s="2" t="s">
        <v>105</v>
      </c>
      <c r="P199" s="2"/>
      <c r="Q199" s="5"/>
      <c r="R199" s="2"/>
      <c r="S199" s="5"/>
      <c r="T199" s="2"/>
      <c r="U199" s="5"/>
      <c r="V199" s="2"/>
      <c r="W199" s="5"/>
      <c r="X199" s="2"/>
      <c r="Y199" s="5"/>
      <c r="Z199" s="2"/>
      <c r="AA199" s="5"/>
      <c r="AB199" s="2"/>
    </row>
    <row r="200" spans="2:28" ht="1" customHeight="1">
      <c r="B200" s="1"/>
      <c r="D200" s="1"/>
      <c r="F200" s="1"/>
      <c r="H200" s="1"/>
      <c r="J200" s="1"/>
      <c r="L200" s="1"/>
      <c r="N200" s="1"/>
      <c r="P200" s="1"/>
      <c r="Q200" s="5"/>
      <c r="R200" s="1"/>
      <c r="S200" s="5"/>
      <c r="T200" s="1"/>
      <c r="U200" s="5"/>
      <c r="V200" s="1"/>
      <c r="W200" s="5"/>
      <c r="X200" s="1"/>
      <c r="Y200" s="5"/>
      <c r="Z200" s="1"/>
      <c r="AA200" s="5"/>
      <c r="AB200" s="1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C0C2-1400-DF45-98B9-30543E0D357F}">
  <sheetPr codeName="Sheet2"/>
  <dimension ref="A1:AB200"/>
  <sheetViews>
    <sheetView tabSelected="1" zoomScale="346" zoomScaleNormal="399" zoomScalePageLayoutView="132" workbookViewId="0">
      <selection activeCell="B4" sqref="B4"/>
    </sheetView>
  </sheetViews>
  <sheetFormatPr baseColWidth="10" defaultRowHeight="20"/>
  <cols>
    <col min="1" max="1" width="0.140625" style="5" customWidth="1"/>
    <col min="2" max="2" width="9.28515625" style="3" customWidth="1"/>
    <col min="3" max="3" width="0.140625" style="5" customWidth="1"/>
    <col min="4" max="4" width="9.28515625" style="3" customWidth="1"/>
    <col min="5" max="5" width="0.140625" style="5" customWidth="1"/>
    <col min="6" max="6" width="9.28515625" style="3" customWidth="1"/>
    <col min="7" max="7" width="0.140625" style="5" customWidth="1"/>
    <col min="8" max="8" width="9.28515625" style="3" customWidth="1"/>
    <col min="9" max="9" width="0.140625" style="5" customWidth="1"/>
    <col min="10" max="10" width="9.28515625" style="3" customWidth="1"/>
    <col min="11" max="11" width="0.140625" style="5" customWidth="1"/>
    <col min="12" max="12" width="9.28515625" style="3" customWidth="1"/>
    <col min="13" max="13" width="0.140625" style="5" customWidth="1"/>
    <col min="14" max="14" width="9.28515625" style="3" customWidth="1"/>
    <col min="15" max="15" width="0.140625" style="5" customWidth="1"/>
    <col min="16" max="16" width="9.28515625" style="3" customWidth="1"/>
    <col min="17" max="17" width="0.140625" style="6" customWidth="1"/>
    <col min="18" max="18" width="9.28515625" style="3" customWidth="1"/>
    <col min="19" max="19" width="0.140625" style="6" customWidth="1"/>
    <col min="20" max="20" width="9.28515625" style="3" customWidth="1"/>
    <col min="21" max="21" width="0.140625" style="6" customWidth="1"/>
    <col min="22" max="22" width="9.28515625" style="3" customWidth="1"/>
    <col min="23" max="23" width="0.140625" style="6" customWidth="1"/>
    <col min="24" max="24" width="9.28515625" style="3" customWidth="1"/>
    <col min="25" max="25" width="0.140625" style="6" customWidth="1"/>
    <col min="26" max="26" width="9.28515625" style="3" customWidth="1"/>
    <col min="27" max="27" width="0.140625" style="6" customWidth="1"/>
    <col min="28" max="28" width="9.28515625" style="3" customWidth="1"/>
  </cols>
  <sheetData>
    <row r="1" spans="2:28" ht="4" customHeight="1">
      <c r="B1" s="1" t="str">
        <f>入力用シート!$C$2</f>
        <v>東京都八王子市</v>
      </c>
      <c r="D1" s="1" t="s">
        <v>20</v>
      </c>
      <c r="F1" s="1" t="s">
        <v>20</v>
      </c>
      <c r="H1" s="1" t="s">
        <v>20</v>
      </c>
      <c r="J1" s="1" t="s">
        <v>20</v>
      </c>
      <c r="L1" s="1" t="s">
        <v>20</v>
      </c>
      <c r="N1" s="1" t="s">
        <v>20</v>
      </c>
      <c r="P1" s="1"/>
      <c r="Q1" s="5"/>
      <c r="R1" s="1"/>
      <c r="S1" s="5"/>
      <c r="T1" s="1"/>
      <c r="U1" s="5"/>
      <c r="V1" s="1"/>
      <c r="W1" s="5"/>
      <c r="X1" s="1"/>
      <c r="Y1" s="5"/>
      <c r="Z1" s="1"/>
      <c r="AA1" s="5"/>
      <c r="AB1" s="1"/>
    </row>
    <row r="2" spans="2:28" ht="4" customHeight="1">
      <c r="B2" s="1" t="str">
        <f>"[" &amp; 入力用シート!$D$2 &amp; ":" &amp; 入力用シート!$E$2 &amp; "-pref.]"</f>
        <v>[JP:Tokyo-pref.]</v>
      </c>
      <c r="D2" s="1" t="s">
        <v>62</v>
      </c>
      <c r="F2" s="1" t="s">
        <v>62</v>
      </c>
      <c r="H2" s="1" t="s">
        <v>62</v>
      </c>
      <c r="J2" s="1" t="s">
        <v>62</v>
      </c>
      <c r="L2" s="1" t="s">
        <v>62</v>
      </c>
      <c r="N2" s="1" t="s">
        <v>62</v>
      </c>
      <c r="P2" s="1"/>
      <c r="Q2" s="5"/>
      <c r="R2" s="1"/>
      <c r="S2" s="5"/>
      <c r="T2" s="1"/>
      <c r="U2" s="5"/>
      <c r="V2" s="1"/>
      <c r="W2" s="5"/>
      <c r="X2" s="1"/>
      <c r="Y2" s="5"/>
      <c r="Z2" s="1"/>
      <c r="AA2" s="5"/>
      <c r="AB2" s="1"/>
    </row>
    <row r="3" spans="2:28" ht="4" customHeight="1">
      <c r="B3" s="2" t="str">
        <f>入力用シート!F2 &amp; ", " &amp; 入力用シート!G2 &amp; IF(入力用シート!H2&lt;&gt;"", ", " &amp; 入力用シート!H2 &amp; ".,", "")</f>
        <v>, Honshu, Is.,</v>
      </c>
      <c r="D3" s="2" t="s">
        <v>107</v>
      </c>
      <c r="F3" s="2" t="s">
        <v>107</v>
      </c>
      <c r="H3" s="2" t="s">
        <v>107</v>
      </c>
      <c r="J3" s="2" t="s">
        <v>107</v>
      </c>
      <c r="L3" s="2" t="s">
        <v>107</v>
      </c>
      <c r="N3" s="2" t="s">
        <v>107</v>
      </c>
      <c r="P3" s="4"/>
      <c r="Q3" s="5"/>
      <c r="R3" s="4"/>
      <c r="S3" s="5"/>
      <c r="T3" s="4"/>
      <c r="U3" s="5"/>
      <c r="V3" s="4"/>
      <c r="W3" s="5"/>
      <c r="X3" s="4"/>
      <c r="Y3" s="5"/>
      <c r="Z3" s="4"/>
      <c r="AA3" s="5"/>
      <c r="AB3" s="4"/>
    </row>
    <row r="4" spans="2:28" ht="4" customHeight="1">
      <c r="B4" s="2" t="str">
        <f>入力用シート!$I$2 &amp; "-" &amp; 入力用シート!$J$2 &amp; IF(入力用シート!$K$2&lt;&gt;"", ", (alt." &amp; 入力用シート!$K$2 &amp; "m)", "")</f>
        <v>Hachioji-shi</v>
      </c>
      <c r="D4" s="2" t="s">
        <v>108</v>
      </c>
      <c r="F4" s="2" t="s">
        <v>108</v>
      </c>
      <c r="H4" s="2" t="s">
        <v>108</v>
      </c>
      <c r="J4" s="2" t="s">
        <v>108</v>
      </c>
      <c r="L4" s="2" t="s">
        <v>108</v>
      </c>
      <c r="N4" s="2" t="s">
        <v>108</v>
      </c>
      <c r="P4" s="2"/>
      <c r="Q4" s="5"/>
      <c r="R4" s="2"/>
      <c r="S4" s="5"/>
      <c r="T4" s="2"/>
      <c r="U4" s="5"/>
      <c r="V4" s="2"/>
      <c r="W4" s="5"/>
      <c r="X4" s="2"/>
      <c r="Y4" s="5"/>
      <c r="Z4" s="2"/>
      <c r="AA4" s="5"/>
      <c r="AB4" s="2"/>
    </row>
    <row r="5" spans="2:28" ht="3" customHeight="1">
      <c r="B5" s="2" t="str">
        <f>入力用シート!$N$2&amp;"."&amp;入力用シート!$M$2&amp;"."&amp;入力用シート!$L$2&amp;" "&amp;入力用シート!$O$2&amp;", "&amp;入力用シート!$P$2</f>
        <v xml:space="preserve">15.Ⅺ.2025 Looking, </v>
      </c>
      <c r="D5" s="2" t="s">
        <v>109</v>
      </c>
      <c r="F5" s="2" t="s">
        <v>109</v>
      </c>
      <c r="H5" s="2" t="s">
        <v>109</v>
      </c>
      <c r="J5" s="2" t="s">
        <v>109</v>
      </c>
      <c r="L5" s="2" t="s">
        <v>109</v>
      </c>
      <c r="N5" s="2" t="s">
        <v>109</v>
      </c>
      <c r="P5" s="2"/>
      <c r="Q5" s="5"/>
      <c r="R5" s="2"/>
      <c r="S5" s="5"/>
      <c r="T5" s="2"/>
      <c r="U5" s="5"/>
      <c r="V5" s="2"/>
      <c r="W5" s="5"/>
      <c r="X5" s="2"/>
      <c r="Y5" s="5"/>
      <c r="Z5" s="2"/>
      <c r="AA5" s="5"/>
      <c r="AB5" s="2"/>
    </row>
    <row r="6" spans="2:28" ht="4" customHeight="1">
      <c r="B6" s="2" t="str">
        <f>"N" &amp; TEXT(入力用シート!$R$2, "0.00000") &amp; ", E" &amp; TEXT(入力用シート!$S$2, "0.00000")</f>
        <v>N35.62969828324389, 139.24611963341107, E0.00000</v>
      </c>
      <c r="D6" s="2" t="s">
        <v>110</v>
      </c>
      <c r="F6" s="2" t="s">
        <v>110</v>
      </c>
      <c r="H6" s="2" t="s">
        <v>110</v>
      </c>
      <c r="J6" s="2" t="s">
        <v>110</v>
      </c>
      <c r="L6" s="2" t="s">
        <v>110</v>
      </c>
      <c r="N6" s="2" t="s">
        <v>110</v>
      </c>
      <c r="P6" s="2"/>
      <c r="Q6" s="5"/>
      <c r="R6" s="2"/>
      <c r="S6" s="5"/>
      <c r="T6" s="2"/>
      <c r="U6" s="5"/>
      <c r="V6" s="2"/>
      <c r="W6" s="5"/>
      <c r="X6" s="2"/>
      <c r="Y6" s="5"/>
      <c r="Z6" s="2"/>
      <c r="AA6" s="5"/>
      <c r="AB6" s="2"/>
    </row>
    <row r="7" spans="2:28" ht="4" customHeight="1">
      <c r="B7" s="2"/>
      <c r="D7" s="2"/>
      <c r="F7" s="2"/>
      <c r="H7" s="2"/>
      <c r="J7" s="2"/>
      <c r="L7" s="2"/>
      <c r="N7" s="2"/>
      <c r="P7" s="2"/>
      <c r="Q7" s="5"/>
      <c r="R7" s="2"/>
      <c r="S7" s="5"/>
      <c r="T7" s="2"/>
      <c r="U7" s="5"/>
      <c r="V7" s="2"/>
      <c r="W7" s="5"/>
      <c r="X7" s="2"/>
      <c r="Y7" s="5"/>
      <c r="Z7" s="2"/>
      <c r="AA7" s="5"/>
      <c r="AB7" s="2"/>
    </row>
    <row r="8" spans="2:28" ht="1" customHeight="1">
      <c r="B8" s="1"/>
      <c r="D8" s="1"/>
      <c r="F8" s="1"/>
      <c r="H8" s="1"/>
      <c r="J8" s="1"/>
      <c r="L8" s="1"/>
      <c r="N8" s="1"/>
      <c r="P8" s="1"/>
      <c r="Q8" s="5"/>
      <c r="R8" s="1"/>
      <c r="S8" s="5"/>
      <c r="T8" s="1"/>
      <c r="U8" s="5"/>
      <c r="V8" s="1"/>
      <c r="W8" s="5"/>
      <c r="X8" s="1"/>
      <c r="Y8" s="5"/>
      <c r="Z8" s="1"/>
      <c r="AA8" s="5"/>
      <c r="AB8" s="1"/>
    </row>
    <row r="9" spans="2:28" ht="4" customHeight="1">
      <c r="B9" s="1" t="str">
        <f>入力用シート!$C$3</f>
        <v>神奈川県横須賀市</v>
      </c>
      <c r="D9" s="1" t="s">
        <v>20</v>
      </c>
      <c r="F9" s="1" t="s">
        <v>20</v>
      </c>
      <c r="H9" s="1" t="s">
        <v>20</v>
      </c>
      <c r="J9" s="1" t="s">
        <v>20</v>
      </c>
      <c r="L9" s="1" t="s">
        <v>20</v>
      </c>
      <c r="N9" s="1" t="s">
        <v>20</v>
      </c>
      <c r="P9" s="1"/>
      <c r="Q9" s="5"/>
      <c r="R9" s="1"/>
      <c r="S9" s="5"/>
      <c r="T9" s="1"/>
      <c r="U9" s="5"/>
      <c r="V9" s="1"/>
      <c r="W9" s="5"/>
      <c r="X9" s="1"/>
      <c r="Y9" s="5"/>
      <c r="Z9" s="1"/>
      <c r="AA9" s="5"/>
      <c r="AB9" s="1"/>
    </row>
    <row r="10" spans="2:28" ht="4" customHeight="1">
      <c r="B10" s="1" t="str">
        <f>"[" &amp; 入力用シート!$D$3 &amp; ":" &amp; 入力用シート!$E$3 &amp; "-pref.]"</f>
        <v>[JP:Kanagawa -pref.]</v>
      </c>
      <c r="D10" s="1" t="s">
        <v>62</v>
      </c>
      <c r="F10" s="1" t="s">
        <v>62</v>
      </c>
      <c r="H10" s="1" t="s">
        <v>62</v>
      </c>
      <c r="J10" s="1" t="s">
        <v>62</v>
      </c>
      <c r="L10" s="1" t="s">
        <v>62</v>
      </c>
      <c r="N10" s="1" t="s">
        <v>62</v>
      </c>
      <c r="P10" s="1"/>
      <c r="Q10" s="5"/>
      <c r="R10" s="1"/>
      <c r="S10" s="5"/>
      <c r="T10" s="1"/>
      <c r="U10" s="5"/>
      <c r="V10" s="1"/>
      <c r="W10" s="5"/>
      <c r="X10" s="1"/>
      <c r="Y10" s="5"/>
      <c r="Z10" s="1"/>
      <c r="AA10" s="5"/>
      <c r="AB10" s="1"/>
    </row>
    <row r="11" spans="2:28" ht="4" customHeight="1">
      <c r="B11" s="11" t="str">
        <f>入力用シート!F3 &amp; ", " &amp; 入力用シート!G3 &amp; IF(入力用シート!H3&lt;&gt;"", ", " &amp; 入力用シート!H3 &amp; ".,", "")</f>
        <v>Kannonnzaki, Honshu, Is.,</v>
      </c>
      <c r="D11" s="11" t="s">
        <v>107</v>
      </c>
      <c r="F11" s="11" t="s">
        <v>107</v>
      </c>
      <c r="H11" s="11" t="s">
        <v>107</v>
      </c>
      <c r="J11" s="11" t="s">
        <v>107</v>
      </c>
      <c r="L11" s="11" t="s">
        <v>107</v>
      </c>
      <c r="N11" s="11" t="s">
        <v>107</v>
      </c>
      <c r="P11" s="4"/>
      <c r="Q11" s="5"/>
      <c r="R11" s="4"/>
      <c r="S11" s="5"/>
      <c r="T11" s="4"/>
      <c r="U11" s="5"/>
      <c r="V11" s="4"/>
      <c r="W11" s="5"/>
      <c r="X11" s="4"/>
      <c r="Y11" s="5"/>
      <c r="Z11" s="4"/>
      <c r="AA11" s="5"/>
      <c r="AB11" s="4"/>
    </row>
    <row r="12" spans="2:28" ht="4" customHeight="1">
      <c r="B12" s="2" t="str">
        <f>入力用シート!$I$3 &amp; "-" &amp; 入力用シート!$J$3 &amp; IF(入力用シート!$K$3&lt;&gt;"", ", (alt." &amp; 入力用シート!$K$3 &amp; "m)", "")</f>
        <v>Yokosuka-shi</v>
      </c>
      <c r="D12" s="2" t="s">
        <v>108</v>
      </c>
      <c r="F12" s="2" t="s">
        <v>108</v>
      </c>
      <c r="H12" s="2" t="s">
        <v>108</v>
      </c>
      <c r="J12" s="2" t="s">
        <v>108</v>
      </c>
      <c r="L12" s="2" t="s">
        <v>108</v>
      </c>
      <c r="N12" s="2" t="s">
        <v>108</v>
      </c>
      <c r="P12" s="2"/>
      <c r="Q12" s="5"/>
      <c r="R12" s="2"/>
      <c r="S12" s="5"/>
      <c r="T12" s="2"/>
      <c r="U12" s="5"/>
      <c r="V12" s="2"/>
      <c r="W12" s="5"/>
      <c r="X12" s="2"/>
      <c r="Y12" s="5"/>
      <c r="Z12" s="2"/>
      <c r="AA12" s="5"/>
      <c r="AB12" s="2"/>
    </row>
    <row r="13" spans="2:28" ht="3" customHeight="1">
      <c r="B13" s="2" t="str">
        <f>入力用シート!$N$3&amp;"."&amp;入力用シート!$M$3&amp;"."&amp;入力用シート!$L$3&amp;" "&amp;入力用シート!$O$3&amp;", "&amp;入力用シート!$P$3</f>
        <v>9.vi.2025 Looking, M.yamaguchi</v>
      </c>
      <c r="D13" s="2" t="s">
        <v>109</v>
      </c>
      <c r="F13" s="2" t="s">
        <v>109</v>
      </c>
      <c r="H13" s="2" t="s">
        <v>109</v>
      </c>
      <c r="J13" s="2" t="s">
        <v>109</v>
      </c>
      <c r="L13" s="2" t="s">
        <v>109</v>
      </c>
      <c r="N13" s="2" t="s">
        <v>109</v>
      </c>
      <c r="P13" s="2"/>
      <c r="Q13" s="5"/>
      <c r="R13" s="2"/>
      <c r="S13" s="5"/>
      <c r="T13" s="2"/>
      <c r="U13" s="5"/>
      <c r="V13" s="2"/>
      <c r="W13" s="5"/>
      <c r="X13" s="2"/>
      <c r="Y13" s="5"/>
      <c r="Z13" s="2"/>
      <c r="AA13" s="5"/>
      <c r="AB13" s="2"/>
    </row>
    <row r="14" spans="2:28" ht="4" customHeight="1">
      <c r="B14" s="2" t="str">
        <f>"N" &amp; TEXT(入力用シート!$R$3, "0.00000") &amp; ", E" &amp; TEXT(入力用シート!$S$3, "0.00000")</f>
        <v>N35.25692418844977, 139.74039243964077, E0.00000</v>
      </c>
      <c r="D14" s="2" t="s">
        <v>110</v>
      </c>
      <c r="F14" s="2" t="s">
        <v>110</v>
      </c>
      <c r="H14" s="2" t="s">
        <v>110</v>
      </c>
      <c r="J14" s="2" t="s">
        <v>110</v>
      </c>
      <c r="L14" s="2" t="s">
        <v>110</v>
      </c>
      <c r="N14" s="2" t="s">
        <v>110</v>
      </c>
      <c r="P14" s="2"/>
      <c r="Q14" s="5"/>
      <c r="R14" s="2"/>
      <c r="S14" s="5"/>
      <c r="T14" s="2"/>
      <c r="U14" s="5"/>
      <c r="V14" s="2"/>
      <c r="W14" s="5"/>
      <c r="X14" s="2"/>
      <c r="Y14" s="5"/>
      <c r="Z14" s="2"/>
      <c r="AA14" s="5"/>
      <c r="AB14" s="2"/>
    </row>
    <row r="15" spans="2:28" ht="4" customHeight="1">
      <c r="B15" s="2"/>
      <c r="D15" s="2"/>
      <c r="F15" s="2"/>
      <c r="H15" s="2"/>
      <c r="J15" s="2"/>
      <c r="L15" s="2"/>
      <c r="N15" s="2"/>
      <c r="P15" s="2"/>
      <c r="Q15" s="5"/>
      <c r="R15" s="2"/>
      <c r="S15" s="5"/>
      <c r="T15" s="2"/>
      <c r="U15" s="5"/>
      <c r="V15" s="2"/>
      <c r="W15" s="5"/>
      <c r="X15" s="2"/>
      <c r="Y15" s="5"/>
      <c r="Z15" s="2"/>
      <c r="AA15" s="5"/>
      <c r="AB15" s="2"/>
    </row>
    <row r="16" spans="2:28" ht="1" customHeight="1">
      <c r="B16" s="1"/>
      <c r="D16" s="1"/>
      <c r="F16" s="1"/>
      <c r="H16" s="1"/>
      <c r="J16" s="1"/>
      <c r="L16" s="1"/>
      <c r="N16" s="1"/>
      <c r="P16" s="1"/>
      <c r="Q16" s="5"/>
      <c r="R16" s="1"/>
      <c r="S16" s="5"/>
      <c r="T16" s="1"/>
      <c r="U16" s="5"/>
      <c r="V16" s="1"/>
      <c r="W16" s="5"/>
      <c r="X16" s="1"/>
      <c r="Y16" s="5"/>
      <c r="Z16" s="1"/>
      <c r="AA16" s="5"/>
      <c r="AB16" s="1"/>
    </row>
    <row r="17" spans="2:28" ht="4" customHeight="1">
      <c r="B17" s="1">
        <f>入力用シート!$C$4</f>
        <v>0</v>
      </c>
      <c r="D17" s="1" t="s">
        <v>20</v>
      </c>
      <c r="F17" s="1" t="s">
        <v>20</v>
      </c>
      <c r="H17" s="1" t="s">
        <v>20</v>
      </c>
      <c r="J17" s="1" t="s">
        <v>20</v>
      </c>
      <c r="L17" s="1" t="s">
        <v>20</v>
      </c>
      <c r="N17" s="1" t="s">
        <v>20</v>
      </c>
      <c r="P17" s="1"/>
      <c r="Q17" s="5"/>
      <c r="R17" s="1"/>
      <c r="S17" s="5"/>
      <c r="T17" s="1"/>
      <c r="U17" s="5"/>
      <c r="V17" s="1"/>
      <c r="W17" s="5"/>
      <c r="X17" s="1"/>
      <c r="Y17" s="5"/>
      <c r="Z17" s="1"/>
      <c r="AA17" s="5"/>
      <c r="AB17" s="1"/>
    </row>
    <row r="18" spans="2:28" ht="4" customHeight="1">
      <c r="B18" s="1" t="str">
        <f>"[" &amp; 入力用シート!$D$4 &amp; ":" &amp; 入力用シート!$E$4 &amp; "-pref.]"</f>
        <v>[JP:-pref.]</v>
      </c>
      <c r="D18" s="1" t="s">
        <v>62</v>
      </c>
      <c r="F18" s="1" t="s">
        <v>62</v>
      </c>
      <c r="H18" s="1" t="s">
        <v>62</v>
      </c>
      <c r="J18" s="1" t="s">
        <v>62</v>
      </c>
      <c r="L18" s="1" t="s">
        <v>62</v>
      </c>
      <c r="N18" s="1" t="s">
        <v>62</v>
      </c>
      <c r="P18" s="1"/>
      <c r="Q18" s="5"/>
      <c r="R18" s="1"/>
      <c r="S18" s="5"/>
      <c r="T18" s="1"/>
      <c r="U18" s="5"/>
      <c r="V18" s="1"/>
      <c r="W18" s="5"/>
      <c r="X18" s="1"/>
      <c r="Y18" s="5"/>
      <c r="Z18" s="1"/>
      <c r="AA18" s="5"/>
      <c r="AB18" s="1"/>
    </row>
    <row r="19" spans="2:28" ht="4" customHeight="1">
      <c r="B19" s="2" t="str">
        <f>入力用シート!F4 &amp; ", " &amp; 入力用シート!G4 &amp; IF(入力用シート!H4&lt;&gt;"", ", " &amp; 入力用シート!H4 &amp; ".,", "")</f>
        <v xml:space="preserve">, </v>
      </c>
      <c r="D19" s="2" t="s">
        <v>107</v>
      </c>
      <c r="F19" s="2" t="s">
        <v>107</v>
      </c>
      <c r="H19" s="2" t="s">
        <v>107</v>
      </c>
      <c r="J19" s="2" t="s">
        <v>107</v>
      </c>
      <c r="L19" s="2" t="s">
        <v>107</v>
      </c>
      <c r="N19" s="2" t="s">
        <v>107</v>
      </c>
      <c r="P19" s="4"/>
      <c r="Q19" s="5"/>
      <c r="R19" s="4"/>
      <c r="S19" s="5"/>
      <c r="T19" s="4"/>
      <c r="U19" s="5"/>
      <c r="V19" s="4"/>
      <c r="W19" s="5"/>
      <c r="X19" s="4"/>
      <c r="Y19" s="5"/>
      <c r="Z19" s="4"/>
      <c r="AA19" s="5"/>
      <c r="AB19" s="4"/>
    </row>
    <row r="20" spans="2:28" ht="4" customHeight="1">
      <c r="B20" s="2" t="str">
        <f>入力用シート!$I$4 &amp; "-" &amp; 入力用シート!$J$4 &amp; IF(入力用シート!$K$4&lt;&gt;"", ", (alt." &amp; 入力用シート!$K$4 &amp; "m)", "")</f>
        <v>-</v>
      </c>
      <c r="D20" s="2" t="s">
        <v>108</v>
      </c>
      <c r="F20" s="2" t="s">
        <v>108</v>
      </c>
      <c r="H20" s="2" t="s">
        <v>108</v>
      </c>
      <c r="J20" s="2" t="s">
        <v>108</v>
      </c>
      <c r="L20" s="2" t="s">
        <v>108</v>
      </c>
      <c r="N20" s="2" t="s">
        <v>108</v>
      </c>
      <c r="P20" s="2"/>
      <c r="Q20" s="5"/>
      <c r="R20" s="2"/>
      <c r="S20" s="5"/>
      <c r="T20" s="2"/>
      <c r="U20" s="5"/>
      <c r="V20" s="2"/>
      <c r="W20" s="5"/>
      <c r="X20" s="2"/>
      <c r="Y20" s="5"/>
      <c r="Z20" s="2"/>
      <c r="AA20" s="5"/>
      <c r="AB20" s="2"/>
    </row>
    <row r="21" spans="2:28" ht="3" customHeight="1">
      <c r="B21" s="2" t="str">
        <f>入力用シート!$N$4&amp;"."&amp;入力用シート!$M$4&amp;"."&amp;入力用シート!$L$4&amp;" "&amp;入力用シート!$O$4&amp;", "&amp;入力用シート!$P$4</f>
        <v>15.x.2025 Looking, M.yamaguchi</v>
      </c>
      <c r="D21" s="2" t="s">
        <v>111</v>
      </c>
      <c r="F21" s="2" t="s">
        <v>111</v>
      </c>
      <c r="H21" s="2" t="s">
        <v>111</v>
      </c>
      <c r="J21" s="2" t="s">
        <v>111</v>
      </c>
      <c r="L21" s="2" t="s">
        <v>111</v>
      </c>
      <c r="N21" s="2" t="s">
        <v>111</v>
      </c>
      <c r="P21" s="2"/>
      <c r="Q21" s="5"/>
      <c r="R21" s="2"/>
      <c r="S21" s="5"/>
      <c r="T21" s="2"/>
      <c r="U21" s="5"/>
      <c r="V21" s="2"/>
      <c r="W21" s="5"/>
      <c r="X21" s="2"/>
      <c r="Y21" s="5"/>
      <c r="Z21" s="2"/>
      <c r="AA21" s="5"/>
      <c r="AB21" s="2"/>
    </row>
    <row r="22" spans="2:28" ht="4" customHeight="1">
      <c r="B22" s="2" t="str">
        <f>"N" &amp; TEXT(入力用シート!$R$4, "0.00000") &amp; ", E" &amp; TEXT(入力用シート!$S$4, "0.00000")</f>
        <v>N24.477538153354185, 124.23073065065063, E0.00000</v>
      </c>
      <c r="D22" s="2" t="s">
        <v>110</v>
      </c>
      <c r="F22" s="2" t="s">
        <v>110</v>
      </c>
      <c r="H22" s="2" t="s">
        <v>110</v>
      </c>
      <c r="J22" s="2" t="s">
        <v>110</v>
      </c>
      <c r="L22" s="2" t="s">
        <v>110</v>
      </c>
      <c r="N22" s="2" t="s">
        <v>110</v>
      </c>
      <c r="P22" s="2"/>
      <c r="Q22" s="5"/>
      <c r="R22" s="2"/>
      <c r="S22" s="5"/>
      <c r="T22" s="2"/>
      <c r="U22" s="5"/>
      <c r="V22" s="2"/>
      <c r="W22" s="5"/>
      <c r="X22" s="2"/>
      <c r="Y22" s="5"/>
      <c r="Z22" s="2"/>
      <c r="AA22" s="5"/>
      <c r="AB22" s="2"/>
    </row>
    <row r="23" spans="2:28" ht="4" customHeight="1">
      <c r="B23" s="2"/>
      <c r="D23" s="2"/>
      <c r="F23" s="2"/>
      <c r="H23" s="2"/>
      <c r="J23" s="2"/>
      <c r="L23" s="2"/>
      <c r="N23" s="2"/>
      <c r="P23" s="2"/>
      <c r="Q23" s="5"/>
      <c r="R23" s="2"/>
      <c r="S23" s="5"/>
      <c r="T23" s="2"/>
      <c r="U23" s="5"/>
      <c r="V23" s="2"/>
      <c r="W23" s="5"/>
      <c r="X23" s="2"/>
      <c r="Y23" s="5"/>
      <c r="Z23" s="2"/>
      <c r="AA23" s="5"/>
      <c r="AB23" s="2"/>
    </row>
    <row r="24" spans="2:28" ht="1" customHeight="1">
      <c r="B24" s="1"/>
      <c r="D24" s="1"/>
      <c r="F24" s="1"/>
      <c r="H24" s="1"/>
      <c r="J24" s="1"/>
      <c r="L24" s="1"/>
      <c r="N24" s="1"/>
      <c r="P24" s="1"/>
      <c r="Q24" s="5"/>
      <c r="R24" s="1"/>
      <c r="S24" s="5"/>
      <c r="T24" s="1"/>
      <c r="U24" s="5"/>
      <c r="V24" s="1"/>
      <c r="W24" s="5"/>
      <c r="X24" s="1"/>
      <c r="Y24" s="5"/>
      <c r="Z24" s="1"/>
      <c r="AA24" s="5"/>
      <c r="AB24" s="1"/>
    </row>
    <row r="25" spans="2:28" ht="4" customHeight="1">
      <c r="B25" s="1">
        <f>入力用シート!$C$5</f>
        <v>0</v>
      </c>
      <c r="D25" s="1" t="s">
        <v>21</v>
      </c>
      <c r="F25" s="1" t="s">
        <v>21</v>
      </c>
      <c r="H25" s="1" t="s">
        <v>21</v>
      </c>
      <c r="J25" s="1" t="s">
        <v>21</v>
      </c>
      <c r="L25" s="1" t="s">
        <v>21</v>
      </c>
      <c r="N25" s="1" t="s">
        <v>21</v>
      </c>
      <c r="P25" s="1"/>
      <c r="Q25" s="5"/>
      <c r="R25" s="1"/>
      <c r="S25" s="5"/>
      <c r="T25" s="1"/>
      <c r="U25" s="5"/>
      <c r="V25" s="1"/>
      <c r="W25" s="5"/>
      <c r="X25" s="1"/>
      <c r="Y25" s="5"/>
      <c r="Z25" s="1"/>
      <c r="AA25" s="5"/>
      <c r="AB25" s="1"/>
    </row>
    <row r="26" spans="2:28" ht="4" customHeight="1">
      <c r="B26" s="1" t="str">
        <f>"[" &amp; 入力用シート!$D$5 &amp; ":" &amp; 入力用シート!$E$5 &amp; "-pref.]"</f>
        <v>[JP:-pref.]</v>
      </c>
      <c r="D26" s="1" t="s">
        <v>68</v>
      </c>
      <c r="F26" s="1" t="s">
        <v>68</v>
      </c>
      <c r="H26" s="1" t="s">
        <v>68</v>
      </c>
      <c r="J26" s="1" t="s">
        <v>68</v>
      </c>
      <c r="L26" s="1" t="s">
        <v>68</v>
      </c>
      <c r="N26" s="1" t="s">
        <v>68</v>
      </c>
      <c r="P26" s="1"/>
      <c r="Q26" s="5"/>
      <c r="R26" s="1"/>
      <c r="S26" s="5"/>
      <c r="T26" s="1"/>
      <c r="U26" s="5"/>
      <c r="V26" s="1"/>
      <c r="W26" s="5"/>
      <c r="X26" s="1"/>
      <c r="Y26" s="5"/>
      <c r="Z26" s="1"/>
      <c r="AA26" s="5"/>
      <c r="AB26" s="1"/>
    </row>
    <row r="27" spans="2:28" ht="4" customHeight="1">
      <c r="B27" s="9" t="str">
        <f>入力用シート!F5 &amp; ", " &amp; 入力用シート!G5 &amp; IF(入力用シート!H5&lt;&gt;"", ", " &amp; 入力用シート!H5 &amp; ".,", "")</f>
        <v xml:space="preserve">, </v>
      </c>
      <c r="D27" s="9" t="s">
        <v>112</v>
      </c>
      <c r="F27" s="9" t="s">
        <v>112</v>
      </c>
      <c r="H27" s="9" t="s">
        <v>112</v>
      </c>
      <c r="J27" s="9" t="s">
        <v>112</v>
      </c>
      <c r="L27" s="9" t="s">
        <v>112</v>
      </c>
      <c r="N27" s="9" t="s">
        <v>112</v>
      </c>
      <c r="P27" s="4"/>
      <c r="Q27" s="5"/>
      <c r="R27" s="4"/>
      <c r="S27" s="5"/>
      <c r="T27" s="4"/>
      <c r="U27" s="5"/>
      <c r="V27" s="4"/>
      <c r="W27" s="5"/>
      <c r="X27" s="4"/>
      <c r="Y27" s="5"/>
      <c r="Z27" s="4"/>
      <c r="AA27" s="5"/>
      <c r="AB27" s="4"/>
    </row>
    <row r="28" spans="2:28" ht="4" customHeight="1">
      <c r="B28" s="2" t="str">
        <f>入力用シート!$I$5 &amp; "-" &amp; 入力用シート!$J$5 &amp; IF(入力用シート!$K$5&lt;&gt;"", ", (alt." &amp; 入力用シート!$K$5 &amp; "m)", "")</f>
        <v>-</v>
      </c>
      <c r="D28" s="2" t="s">
        <v>113</v>
      </c>
      <c r="F28" s="2" t="s">
        <v>113</v>
      </c>
      <c r="H28" s="2" t="s">
        <v>113</v>
      </c>
      <c r="J28" s="2" t="s">
        <v>113</v>
      </c>
      <c r="L28" s="2" t="s">
        <v>113</v>
      </c>
      <c r="N28" s="2" t="s">
        <v>113</v>
      </c>
      <c r="P28" s="2"/>
      <c r="Q28" s="5"/>
      <c r="R28" s="2"/>
      <c r="S28" s="5"/>
      <c r="T28" s="2"/>
      <c r="U28" s="5"/>
      <c r="V28" s="2"/>
      <c r="W28" s="5"/>
      <c r="X28" s="2"/>
      <c r="Y28" s="5"/>
      <c r="Z28" s="2"/>
      <c r="AA28" s="5"/>
      <c r="AB28" s="2"/>
    </row>
    <row r="29" spans="2:28" ht="3" customHeight="1">
      <c r="B29" s="2" t="str">
        <f>入力用シート!$N$5&amp;"."&amp;入力用シート!$M$5&amp;"."&amp;入力用シート!$L$5&amp;" "&amp;入力用シート!$O$5&amp;", "&amp;入力用シート!$P$5</f>
        <v>7.v.2025 Looking, M.yamaguchi</v>
      </c>
      <c r="D29" s="2" t="s">
        <v>114</v>
      </c>
      <c r="F29" s="2" t="s">
        <v>114</v>
      </c>
      <c r="H29" s="2" t="s">
        <v>114</v>
      </c>
      <c r="J29" s="2" t="s">
        <v>114</v>
      </c>
      <c r="L29" s="2" t="s">
        <v>114</v>
      </c>
      <c r="N29" s="2" t="s">
        <v>114</v>
      </c>
      <c r="P29" s="2"/>
      <c r="Q29" s="5"/>
      <c r="R29" s="2"/>
      <c r="S29" s="5"/>
      <c r="T29" s="2"/>
      <c r="U29" s="5"/>
      <c r="V29" s="2"/>
      <c r="W29" s="5"/>
      <c r="X29" s="2"/>
      <c r="Y29" s="5"/>
      <c r="Z29" s="2"/>
      <c r="AA29" s="5"/>
      <c r="AB29" s="2"/>
    </row>
    <row r="30" spans="2:28" ht="4" customHeight="1">
      <c r="B30" s="2" t="str">
        <f>"N" &amp; TEXT(入力用シート!$R$5, "0.00000") &amp; ", E" &amp; TEXT(入力用シート!$S$5, "0.00000")</f>
        <v>N36.42921814979149, 138.41797667237086, E0.00000</v>
      </c>
      <c r="D30" s="2" t="s">
        <v>115</v>
      </c>
      <c r="F30" s="2" t="s">
        <v>115</v>
      </c>
      <c r="H30" s="2" t="s">
        <v>115</v>
      </c>
      <c r="J30" s="2" t="s">
        <v>115</v>
      </c>
      <c r="L30" s="2" t="s">
        <v>115</v>
      </c>
      <c r="N30" s="2" t="s">
        <v>115</v>
      </c>
      <c r="P30" s="2"/>
      <c r="Q30" s="5"/>
      <c r="R30" s="2"/>
      <c r="S30" s="5"/>
      <c r="T30" s="2"/>
      <c r="U30" s="5"/>
      <c r="V30" s="2"/>
      <c r="W30" s="5"/>
      <c r="X30" s="2"/>
      <c r="Y30" s="5"/>
      <c r="Z30" s="2"/>
      <c r="AA30" s="5"/>
      <c r="AB30" s="2"/>
    </row>
    <row r="31" spans="2:28" ht="4" customHeight="1">
      <c r="B31" s="2"/>
      <c r="D31" s="2"/>
      <c r="F31" s="2"/>
      <c r="H31" s="2"/>
      <c r="J31" s="2"/>
      <c r="L31" s="2"/>
      <c r="N31" s="2"/>
      <c r="P31" s="2"/>
      <c r="Q31" s="5"/>
      <c r="R31" s="2"/>
      <c r="S31" s="5"/>
      <c r="T31" s="2"/>
      <c r="U31" s="5"/>
      <c r="V31" s="2"/>
      <c r="W31" s="5"/>
      <c r="X31" s="2"/>
      <c r="Y31" s="5"/>
      <c r="Z31" s="2"/>
      <c r="AA31" s="5"/>
      <c r="AB31" s="2"/>
    </row>
    <row r="32" spans="2:28" ht="1" customHeight="1">
      <c r="B32" s="1"/>
      <c r="D32" s="1"/>
      <c r="F32" s="1"/>
      <c r="H32" s="1"/>
      <c r="J32" s="1"/>
      <c r="L32" s="1"/>
      <c r="N32" s="1"/>
      <c r="P32" s="1"/>
      <c r="Q32" s="5"/>
      <c r="R32" s="1"/>
      <c r="S32" s="5"/>
      <c r="T32" s="1"/>
      <c r="U32" s="5"/>
      <c r="V32" s="1"/>
      <c r="W32" s="5"/>
      <c r="X32" s="1"/>
      <c r="Y32" s="5"/>
      <c r="Z32" s="1"/>
      <c r="AA32" s="5"/>
      <c r="AB32" s="1"/>
    </row>
    <row r="33" spans="2:28" ht="4" customHeight="1">
      <c r="B33" s="1">
        <f>入力用シート!$C$6</f>
        <v>0</v>
      </c>
      <c r="D33" s="1" t="s">
        <v>22</v>
      </c>
      <c r="F33" s="1" t="s">
        <v>22</v>
      </c>
      <c r="H33" s="1" t="s">
        <v>22</v>
      </c>
      <c r="J33" s="1" t="s">
        <v>22</v>
      </c>
      <c r="L33" s="1" t="s">
        <v>22</v>
      </c>
      <c r="N33" s="1" t="s">
        <v>22</v>
      </c>
      <c r="P33" s="1"/>
      <c r="Q33" s="5"/>
      <c r="R33" s="1"/>
      <c r="S33" s="5"/>
      <c r="T33" s="1"/>
      <c r="U33" s="5"/>
      <c r="V33" s="1"/>
      <c r="W33" s="5"/>
      <c r="X33" s="1"/>
      <c r="Y33" s="5"/>
      <c r="Z33" s="1"/>
      <c r="AA33" s="5"/>
      <c r="AB33" s="1"/>
    </row>
    <row r="34" spans="2:28" ht="4" customHeight="1">
      <c r="B34" s="1" t="str">
        <f>"[" &amp; 入力用シート!$D$6 &amp; ":" &amp; 入力用シート!$E$6 &amp; "-pref.]"</f>
        <v>[JP:-pref.]</v>
      </c>
      <c r="D34" s="1" t="s">
        <v>68</v>
      </c>
      <c r="F34" s="1" t="s">
        <v>68</v>
      </c>
      <c r="H34" s="1" t="s">
        <v>68</v>
      </c>
      <c r="J34" s="1" t="s">
        <v>68</v>
      </c>
      <c r="L34" s="1" t="s">
        <v>68</v>
      </c>
      <c r="N34" s="1" t="s">
        <v>68</v>
      </c>
      <c r="P34" s="1"/>
      <c r="Q34" s="5"/>
      <c r="R34" s="1"/>
      <c r="S34" s="5"/>
      <c r="T34" s="1"/>
      <c r="U34" s="5"/>
      <c r="V34" s="1"/>
      <c r="W34" s="5"/>
      <c r="X34" s="1"/>
      <c r="Y34" s="5"/>
      <c r="Z34" s="1"/>
      <c r="AA34" s="5"/>
      <c r="AB34" s="1"/>
    </row>
    <row r="35" spans="2:28" ht="4" customHeight="1">
      <c r="B35" s="9" t="str">
        <f>入力用シート!F6 &amp; ", " &amp; 入力用シート!G6 &amp; IF(入力用シート!H6&lt;&gt;"", ", " &amp; 入力用シート!H6 &amp; ".,", "")</f>
        <v xml:space="preserve">, </v>
      </c>
      <c r="D35" s="9" t="s">
        <v>116</v>
      </c>
      <c r="F35" s="9" t="s">
        <v>116</v>
      </c>
      <c r="H35" s="9" t="s">
        <v>116</v>
      </c>
      <c r="J35" s="9" t="s">
        <v>116</v>
      </c>
      <c r="L35" s="9" t="s">
        <v>116</v>
      </c>
      <c r="N35" s="9" t="s">
        <v>116</v>
      </c>
      <c r="P35" s="4"/>
      <c r="Q35" s="5"/>
      <c r="R35" s="4"/>
      <c r="S35" s="5"/>
      <c r="T35" s="4"/>
      <c r="U35" s="5"/>
      <c r="V35" s="4"/>
      <c r="W35" s="5"/>
      <c r="X35" s="4"/>
      <c r="Y35" s="5"/>
      <c r="Z35" s="4"/>
      <c r="AA35" s="5"/>
      <c r="AB35" s="4"/>
    </row>
    <row r="36" spans="2:28" ht="4" customHeight="1">
      <c r="B36" s="2" t="str">
        <f>入力用シート!$I$6 &amp; "-" &amp; 入力用シート!$J$6 &amp; IF(入力用シート!$K$6&lt;&gt;"", ", (alt." &amp; 入力用シート!$K$6 &amp; "m)", "")</f>
        <v>-</v>
      </c>
      <c r="D36" s="2" t="s">
        <v>117</v>
      </c>
      <c r="F36" s="2" t="s">
        <v>117</v>
      </c>
      <c r="H36" s="2" t="s">
        <v>117</v>
      </c>
      <c r="J36" s="2" t="s">
        <v>117</v>
      </c>
      <c r="L36" s="2" t="s">
        <v>117</v>
      </c>
      <c r="N36" s="2" t="s">
        <v>117</v>
      </c>
      <c r="P36" s="2"/>
      <c r="Q36" s="5"/>
      <c r="R36" s="2"/>
      <c r="S36" s="5"/>
      <c r="T36" s="2"/>
      <c r="U36" s="5"/>
      <c r="V36" s="2"/>
      <c r="W36" s="5"/>
      <c r="X36" s="2"/>
      <c r="Y36" s="5"/>
      <c r="Z36" s="2"/>
      <c r="AA36" s="5"/>
      <c r="AB36" s="2"/>
    </row>
    <row r="37" spans="2:28" ht="3" customHeight="1">
      <c r="B37" s="2" t="str">
        <f>入力用シート!$N$6&amp;"."&amp;入力用シート!$M$6&amp;"."&amp;入力用シート!$L$6&amp;" "&amp;入力用シート!$O$6&amp;", "&amp;入力用シート!$P$6</f>
        <v>10.v.2023 Looking, M.yamaguchi</v>
      </c>
      <c r="D37" s="2" t="s">
        <v>118</v>
      </c>
      <c r="F37" s="2" t="s">
        <v>118</v>
      </c>
      <c r="H37" s="2" t="s">
        <v>118</v>
      </c>
      <c r="J37" s="2" t="s">
        <v>118</v>
      </c>
      <c r="L37" s="2" t="s">
        <v>118</v>
      </c>
      <c r="N37" s="2" t="s">
        <v>118</v>
      </c>
      <c r="P37" s="2"/>
      <c r="Q37" s="5"/>
      <c r="R37" s="2"/>
      <c r="S37" s="5"/>
      <c r="T37" s="2"/>
      <c r="U37" s="5"/>
      <c r="V37" s="2"/>
      <c r="W37" s="5"/>
      <c r="X37" s="2"/>
      <c r="Y37" s="5"/>
      <c r="Z37" s="2"/>
      <c r="AA37" s="5"/>
      <c r="AB37" s="2"/>
    </row>
    <row r="38" spans="2:28" ht="4" customHeight="1">
      <c r="B38" s="2" t="str">
        <f>"N" &amp; TEXT(入力用シート!$R$6, "0.00000") &amp; ", E" &amp; TEXT(入力用シート!$S$6, "0.00000")</f>
        <v>N36.42921814979149, 138.41797667237086, E0.00000</v>
      </c>
      <c r="D38" s="2" t="s">
        <v>119</v>
      </c>
      <c r="F38" s="2" t="s">
        <v>119</v>
      </c>
      <c r="H38" s="2" t="s">
        <v>119</v>
      </c>
      <c r="J38" s="2" t="s">
        <v>119</v>
      </c>
      <c r="L38" s="2" t="s">
        <v>119</v>
      </c>
      <c r="N38" s="2" t="s">
        <v>119</v>
      </c>
      <c r="P38" s="2"/>
      <c r="Q38" s="5"/>
      <c r="R38" s="2"/>
      <c r="S38" s="5"/>
      <c r="T38" s="2"/>
      <c r="U38" s="5"/>
      <c r="V38" s="2"/>
      <c r="W38" s="5"/>
      <c r="X38" s="2"/>
      <c r="Y38" s="5"/>
      <c r="Z38" s="2"/>
      <c r="AA38" s="5"/>
      <c r="AB38" s="2"/>
    </row>
    <row r="39" spans="2:28" ht="4" customHeight="1">
      <c r="B39" s="2"/>
      <c r="D39" s="2"/>
      <c r="F39" s="2"/>
      <c r="H39" s="2"/>
      <c r="J39" s="2"/>
      <c r="L39" s="2"/>
      <c r="N39" s="2"/>
      <c r="P39" s="2"/>
      <c r="Q39" s="5"/>
      <c r="R39" s="2"/>
      <c r="S39" s="5"/>
      <c r="T39" s="2"/>
      <c r="U39" s="5"/>
      <c r="V39" s="2"/>
      <c r="W39" s="5"/>
      <c r="X39" s="2"/>
      <c r="Y39" s="5"/>
      <c r="Z39" s="2"/>
      <c r="AA39" s="5"/>
      <c r="AB39" s="2"/>
    </row>
    <row r="40" spans="2:28" ht="1" customHeight="1">
      <c r="B40" s="1"/>
      <c r="D40" s="1"/>
      <c r="F40" s="1"/>
      <c r="H40" s="1"/>
      <c r="J40" s="1"/>
      <c r="L40" s="1"/>
      <c r="N40" s="1"/>
      <c r="P40" s="1"/>
      <c r="Q40" s="5"/>
      <c r="R40" s="1"/>
      <c r="S40" s="5"/>
      <c r="T40" s="1"/>
      <c r="U40" s="5"/>
      <c r="V40" s="1"/>
      <c r="W40" s="5"/>
      <c r="X40" s="1"/>
      <c r="Y40" s="5"/>
      <c r="Z40" s="1"/>
      <c r="AA40" s="5"/>
      <c r="AB40" s="1"/>
    </row>
    <row r="41" spans="2:28" ht="4" customHeight="1">
      <c r="B41" s="1">
        <f>入力用シート!$C$7</f>
        <v>0</v>
      </c>
      <c r="D41" s="1" t="s">
        <v>23</v>
      </c>
      <c r="F41" s="1" t="s">
        <v>23</v>
      </c>
      <c r="H41" s="1" t="s">
        <v>23</v>
      </c>
      <c r="J41" s="1" t="s">
        <v>23</v>
      </c>
      <c r="L41" s="1" t="s">
        <v>23</v>
      </c>
      <c r="N41" s="1" t="s">
        <v>23</v>
      </c>
      <c r="P41" s="1"/>
      <c r="Q41" s="5"/>
      <c r="R41" s="1"/>
      <c r="S41" s="5"/>
      <c r="T41" s="1"/>
      <c r="U41" s="5"/>
      <c r="V41" s="1"/>
      <c r="W41" s="5"/>
      <c r="X41" s="1"/>
      <c r="Y41" s="5"/>
      <c r="Z41" s="1"/>
      <c r="AA41" s="5"/>
      <c r="AB41" s="1"/>
    </row>
    <row r="42" spans="2:28" ht="4" customHeight="1">
      <c r="B42" s="1" t="str">
        <f>"[" &amp; 入力用シート!$D$7 &amp; ":" &amp; 入力用シート!$E$7 &amp; "-pref.]"</f>
        <v>[JP:-pref.]</v>
      </c>
      <c r="D42" s="1" t="s">
        <v>35</v>
      </c>
      <c r="F42" s="1" t="s">
        <v>35</v>
      </c>
      <c r="H42" s="1" t="s">
        <v>35</v>
      </c>
      <c r="J42" s="1" t="s">
        <v>35</v>
      </c>
      <c r="L42" s="1" t="s">
        <v>35</v>
      </c>
      <c r="N42" s="1" t="s">
        <v>35</v>
      </c>
      <c r="P42" s="1"/>
      <c r="Q42" s="5"/>
      <c r="R42" s="1"/>
      <c r="S42" s="5"/>
      <c r="T42" s="1"/>
      <c r="U42" s="5"/>
      <c r="V42" s="1"/>
      <c r="W42" s="5"/>
      <c r="X42" s="1"/>
      <c r="Y42" s="5"/>
      <c r="Z42" s="1"/>
      <c r="AA42" s="5"/>
      <c r="AB42" s="1"/>
    </row>
    <row r="43" spans="2:28" ht="4" customHeight="1">
      <c r="B43" s="9" t="str">
        <f>入力用シート!F7 &amp; ", " &amp; 入力用シート!G7 &amp; IF(入力用シート!H7&lt;&gt;"", ", " &amp; 入力用シート!H7 &amp; ".,", "")</f>
        <v xml:space="preserve">, </v>
      </c>
      <c r="D43" s="9" t="s">
        <v>120</v>
      </c>
      <c r="F43" s="9" t="s">
        <v>120</v>
      </c>
      <c r="H43" s="9" t="s">
        <v>120</v>
      </c>
      <c r="J43" s="9" t="s">
        <v>120</v>
      </c>
      <c r="L43" s="9" t="s">
        <v>120</v>
      </c>
      <c r="N43" s="9" t="s">
        <v>120</v>
      </c>
      <c r="P43" s="4"/>
      <c r="Q43" s="5"/>
      <c r="R43" s="4"/>
      <c r="S43" s="5"/>
      <c r="T43" s="4"/>
      <c r="U43" s="5"/>
      <c r="V43" s="4"/>
      <c r="W43" s="5"/>
      <c r="X43" s="4"/>
      <c r="Y43" s="5"/>
      <c r="Z43" s="4"/>
      <c r="AA43" s="5"/>
      <c r="AB43" s="4"/>
    </row>
    <row r="44" spans="2:28" ht="4" customHeight="1">
      <c r="B44" s="2" t="str">
        <f>入力用シート!$I$7 &amp; "-" &amp; 入力用シート!$J$7 &amp; IF(入力用シート!$K$7&lt;&gt;"", ", (alt." &amp; 入力用シート!$K$7 &amp; "m)", "")</f>
        <v>-</v>
      </c>
      <c r="D44" s="2" t="s">
        <v>121</v>
      </c>
      <c r="F44" s="2" t="s">
        <v>121</v>
      </c>
      <c r="H44" s="2" t="s">
        <v>121</v>
      </c>
      <c r="J44" s="2" t="s">
        <v>121</v>
      </c>
      <c r="L44" s="2" t="s">
        <v>121</v>
      </c>
      <c r="N44" s="2" t="s">
        <v>121</v>
      </c>
      <c r="P44" s="2"/>
      <c r="Q44" s="5"/>
      <c r="R44" s="2"/>
      <c r="S44" s="5"/>
      <c r="T44" s="2"/>
      <c r="U44" s="5"/>
      <c r="V44" s="2"/>
      <c r="W44" s="5"/>
      <c r="X44" s="2"/>
      <c r="Y44" s="5"/>
      <c r="Z44" s="2"/>
      <c r="AA44" s="5"/>
      <c r="AB44" s="2"/>
    </row>
    <row r="45" spans="2:28" ht="3" customHeight="1">
      <c r="B45" s="2" t="str">
        <f>入力用シート!$N$7&amp;"."&amp;入力用シート!$M$7&amp;"."&amp;入力用シート!$L$7&amp;" "&amp;入力用シート!$O$7&amp;", "&amp;入力用シート!$P$7</f>
        <v>10.v.2023 Looking, M.yamaguchi</v>
      </c>
      <c r="D45" s="2" t="s">
        <v>122</v>
      </c>
      <c r="F45" s="2" t="s">
        <v>122</v>
      </c>
      <c r="H45" s="2" t="s">
        <v>122</v>
      </c>
      <c r="J45" s="2" t="s">
        <v>122</v>
      </c>
      <c r="L45" s="2" t="s">
        <v>122</v>
      </c>
      <c r="N45" s="2" t="s">
        <v>122</v>
      </c>
      <c r="P45" s="2"/>
      <c r="Q45" s="5"/>
      <c r="R45" s="2"/>
      <c r="S45" s="5"/>
      <c r="T45" s="2"/>
      <c r="U45" s="5"/>
      <c r="V45" s="2"/>
      <c r="W45" s="5"/>
      <c r="X45" s="2"/>
      <c r="Y45" s="5"/>
      <c r="Z45" s="2"/>
      <c r="AA45" s="5"/>
      <c r="AB45" s="2"/>
    </row>
    <row r="46" spans="2:28" ht="4" customHeight="1">
      <c r="B46" s="2" t="str">
        <f>"N" &amp; TEXT(入力用シート!$R$7, "0.00000") &amp; ", E" &amp; TEXT(入力用シート!$S$7, "0.00000")</f>
        <v>N36.30075052275591, 138.76238073680415, E0.00000</v>
      </c>
      <c r="D46" s="2" t="s">
        <v>123</v>
      </c>
      <c r="F46" s="2" t="s">
        <v>123</v>
      </c>
      <c r="H46" s="2" t="s">
        <v>123</v>
      </c>
      <c r="J46" s="2" t="s">
        <v>123</v>
      </c>
      <c r="L46" s="2" t="s">
        <v>123</v>
      </c>
      <c r="N46" s="2" t="s">
        <v>123</v>
      </c>
      <c r="P46" s="2"/>
      <c r="Q46" s="5"/>
      <c r="R46" s="2"/>
      <c r="S46" s="5"/>
      <c r="T46" s="2"/>
      <c r="U46" s="5"/>
      <c r="V46" s="2"/>
      <c r="W46" s="5"/>
      <c r="X46" s="2"/>
      <c r="Y46" s="5"/>
      <c r="Z46" s="2"/>
      <c r="AA46" s="5"/>
      <c r="AB46" s="2"/>
    </row>
    <row r="47" spans="2:28" ht="4" customHeight="1">
      <c r="B47" s="2"/>
      <c r="D47" s="2"/>
      <c r="F47" s="2"/>
      <c r="H47" s="2"/>
      <c r="J47" s="2"/>
      <c r="L47" s="2"/>
      <c r="N47" s="2"/>
      <c r="P47" s="2"/>
      <c r="Q47" s="5"/>
      <c r="R47" s="2"/>
      <c r="S47" s="5"/>
      <c r="T47" s="2"/>
      <c r="U47" s="5"/>
      <c r="V47" s="2"/>
      <c r="W47" s="5"/>
      <c r="X47" s="2"/>
      <c r="Y47" s="5"/>
      <c r="Z47" s="2"/>
      <c r="AA47" s="5"/>
      <c r="AB47" s="2"/>
    </row>
    <row r="48" spans="2:28" ht="1" customHeight="1">
      <c r="B48" s="1"/>
      <c r="D48" s="1"/>
      <c r="F48" s="1"/>
      <c r="H48" s="1"/>
      <c r="J48" s="1"/>
      <c r="L48" s="1"/>
      <c r="N48" s="1"/>
      <c r="P48" s="1"/>
      <c r="Q48" s="5"/>
      <c r="R48" s="1"/>
      <c r="S48" s="5"/>
      <c r="T48" s="1"/>
      <c r="U48" s="5"/>
      <c r="V48" s="1"/>
      <c r="W48" s="5"/>
      <c r="X48" s="1"/>
      <c r="Y48" s="5"/>
      <c r="Z48" s="1"/>
      <c r="AA48" s="5"/>
      <c r="AB48" s="1"/>
    </row>
    <row r="49" spans="2:28" ht="4" customHeight="1">
      <c r="B49" s="1">
        <f>入力用シート!$C$8</f>
        <v>0</v>
      </c>
      <c r="D49" s="1" t="s">
        <v>24</v>
      </c>
      <c r="F49" s="1" t="s">
        <v>24</v>
      </c>
      <c r="H49" s="1" t="s">
        <v>24</v>
      </c>
      <c r="J49" s="1" t="s">
        <v>24</v>
      </c>
      <c r="L49" s="1" t="s">
        <v>24</v>
      </c>
      <c r="N49" s="1" t="s">
        <v>24</v>
      </c>
      <c r="P49" s="1"/>
      <c r="Q49" s="5"/>
      <c r="R49" s="1"/>
      <c r="S49" s="5"/>
      <c r="T49" s="1"/>
      <c r="U49" s="5"/>
      <c r="V49" s="1"/>
      <c r="W49" s="5"/>
      <c r="X49" s="1"/>
      <c r="Y49" s="5"/>
      <c r="Z49" s="1"/>
      <c r="AA49" s="5"/>
      <c r="AB49" s="1"/>
    </row>
    <row r="50" spans="2:28" ht="4" customHeight="1">
      <c r="B50" s="1" t="str">
        <f>"[" &amp; 入力用シート!$D$8 &amp; ":" &amp; 入力用シート!$E$8 &amp; "-pref.]"</f>
        <v>[JP:-pref.]</v>
      </c>
      <c r="D50" s="1" t="s">
        <v>62</v>
      </c>
      <c r="F50" s="1" t="s">
        <v>62</v>
      </c>
      <c r="H50" s="1" t="s">
        <v>62</v>
      </c>
      <c r="J50" s="1" t="s">
        <v>62</v>
      </c>
      <c r="L50" s="1" t="s">
        <v>62</v>
      </c>
      <c r="N50" s="1" t="s">
        <v>62</v>
      </c>
      <c r="P50" s="1"/>
      <c r="Q50" s="5"/>
      <c r="R50" s="1"/>
      <c r="S50" s="5"/>
      <c r="T50" s="1"/>
      <c r="U50" s="5"/>
      <c r="V50" s="1"/>
      <c r="W50" s="5"/>
      <c r="X50" s="1"/>
      <c r="Y50" s="5"/>
      <c r="Z50" s="1"/>
      <c r="AA50" s="5"/>
      <c r="AB50" s="1"/>
    </row>
    <row r="51" spans="2:28" ht="4" customHeight="1">
      <c r="B51" s="9" t="str">
        <f>入力用シート!F8 &amp; ", " &amp; 入力用シート!G8 &amp; IF(入力用シート!H8&lt;&gt;"", ", " &amp; 入力用シート!H8 &amp; ".,", "")</f>
        <v xml:space="preserve">, </v>
      </c>
      <c r="D51" s="9" t="s">
        <v>124</v>
      </c>
      <c r="F51" s="9" t="s">
        <v>124</v>
      </c>
      <c r="H51" s="9" t="s">
        <v>124</v>
      </c>
      <c r="J51" s="9" t="s">
        <v>124</v>
      </c>
      <c r="L51" s="9" t="s">
        <v>124</v>
      </c>
      <c r="N51" s="9" t="s">
        <v>124</v>
      </c>
      <c r="P51" s="4"/>
      <c r="Q51" s="5"/>
      <c r="R51" s="4"/>
      <c r="S51" s="5"/>
      <c r="T51" s="4"/>
      <c r="U51" s="5"/>
      <c r="V51" s="4"/>
      <c r="W51" s="5"/>
      <c r="X51" s="4"/>
      <c r="Y51" s="5"/>
      <c r="Z51" s="4"/>
      <c r="AA51" s="5"/>
      <c r="AB51" s="4"/>
    </row>
    <row r="52" spans="2:28" ht="4" customHeight="1">
      <c r="B52" s="2" t="str">
        <f>入力用シート!$I$8 &amp; "-" &amp; 入力用シート!$J$8 &amp; IF(入力用シート!$K$8&lt;&gt;"", ", (alt." &amp; 入力用シート!$K$8 &amp; "m)", "")</f>
        <v>-</v>
      </c>
      <c r="D52" s="2" t="s">
        <v>125</v>
      </c>
      <c r="F52" s="2" t="s">
        <v>125</v>
      </c>
      <c r="H52" s="2" t="s">
        <v>125</v>
      </c>
      <c r="J52" s="2" t="s">
        <v>125</v>
      </c>
      <c r="L52" s="2" t="s">
        <v>125</v>
      </c>
      <c r="N52" s="2" t="s">
        <v>125</v>
      </c>
      <c r="P52" s="2"/>
      <c r="Q52" s="5"/>
      <c r="R52" s="2"/>
      <c r="S52" s="5"/>
      <c r="T52" s="2"/>
      <c r="U52" s="5"/>
      <c r="V52" s="2"/>
      <c r="W52" s="5"/>
      <c r="X52" s="2"/>
      <c r="Y52" s="5"/>
      <c r="Z52" s="2"/>
      <c r="AA52" s="5"/>
      <c r="AB52" s="2"/>
    </row>
    <row r="53" spans="2:28" ht="3" customHeight="1">
      <c r="B53" s="2" t="str">
        <f>入力用シート!$N$8&amp;"."&amp;入力用シート!$M$8&amp;"."&amp;入力用シート!$L$8&amp;" "&amp;入力用シート!$O$8&amp;", "&amp;入力用シート!$P$8</f>
        <v>13.v.2023 Looking, M.yamaguchi</v>
      </c>
      <c r="D53" s="2" t="s">
        <v>126</v>
      </c>
      <c r="F53" s="2" t="s">
        <v>126</v>
      </c>
      <c r="H53" s="2" t="s">
        <v>126</v>
      </c>
      <c r="J53" s="2" t="s">
        <v>126</v>
      </c>
      <c r="L53" s="2" t="s">
        <v>126</v>
      </c>
      <c r="N53" s="2" t="s">
        <v>126</v>
      </c>
      <c r="P53" s="2"/>
      <c r="Q53" s="5"/>
      <c r="R53" s="2"/>
      <c r="S53" s="5"/>
      <c r="T53" s="2"/>
      <c r="U53" s="5"/>
      <c r="V53" s="2"/>
      <c r="W53" s="5"/>
      <c r="X53" s="2"/>
      <c r="Y53" s="5"/>
      <c r="Z53" s="2"/>
      <c r="AA53" s="5"/>
      <c r="AB53" s="2"/>
    </row>
    <row r="54" spans="2:28" ht="4" customHeight="1">
      <c r="B54" s="2" t="str">
        <f>"N" &amp; TEXT(入力用シート!$R$8, "0.00000") &amp; ", E" &amp; TEXT(入力用シート!$S$8, "0.00000")</f>
        <v>N35.85966576505269, 138.56990528469996, E0.00000</v>
      </c>
      <c r="D54" s="2" t="s">
        <v>127</v>
      </c>
      <c r="F54" s="2" t="s">
        <v>127</v>
      </c>
      <c r="H54" s="2" t="s">
        <v>127</v>
      </c>
      <c r="J54" s="2" t="s">
        <v>127</v>
      </c>
      <c r="L54" s="2" t="s">
        <v>127</v>
      </c>
      <c r="N54" s="2" t="s">
        <v>127</v>
      </c>
      <c r="P54" s="2"/>
      <c r="Q54" s="5"/>
      <c r="R54" s="2"/>
      <c r="S54" s="5"/>
      <c r="T54" s="2"/>
      <c r="U54" s="5"/>
      <c r="V54" s="2"/>
      <c r="W54" s="5"/>
      <c r="X54" s="2"/>
      <c r="Y54" s="5"/>
      <c r="Z54" s="2"/>
      <c r="AA54" s="5"/>
      <c r="AB54" s="2"/>
    </row>
    <row r="55" spans="2:28" ht="4" customHeight="1">
      <c r="B55" s="2"/>
      <c r="D55" s="2"/>
      <c r="F55" s="2"/>
      <c r="H55" s="2"/>
      <c r="J55" s="2"/>
      <c r="L55" s="2"/>
      <c r="N55" s="2"/>
      <c r="P55" s="2"/>
      <c r="Q55" s="5"/>
      <c r="R55" s="2"/>
      <c r="S55" s="5"/>
      <c r="T55" s="2"/>
      <c r="U55" s="5"/>
      <c r="V55" s="2"/>
      <c r="W55" s="5"/>
      <c r="X55" s="2"/>
      <c r="Y55" s="5"/>
      <c r="Z55" s="2"/>
      <c r="AA55" s="5"/>
      <c r="AB55" s="2"/>
    </row>
    <row r="56" spans="2:28" ht="1" customHeight="1">
      <c r="B56" s="1"/>
      <c r="D56" s="1"/>
      <c r="F56" s="1"/>
      <c r="H56" s="1"/>
      <c r="J56" s="1"/>
      <c r="L56" s="1"/>
      <c r="N56" s="1"/>
      <c r="P56" s="1"/>
      <c r="Q56" s="5"/>
      <c r="R56" s="1"/>
      <c r="S56" s="5"/>
      <c r="T56" s="1"/>
      <c r="U56" s="5"/>
      <c r="V56" s="1"/>
      <c r="W56" s="5"/>
      <c r="X56" s="1"/>
      <c r="Y56" s="5"/>
      <c r="Z56" s="1"/>
      <c r="AA56" s="5"/>
      <c r="AB56" s="1"/>
    </row>
    <row r="57" spans="2:28" ht="4" customHeight="1">
      <c r="B57" s="1">
        <f>入力用シート!$C$9</f>
        <v>0</v>
      </c>
      <c r="D57" s="1" t="s">
        <v>24</v>
      </c>
      <c r="F57" s="1" t="s">
        <v>24</v>
      </c>
      <c r="H57" s="1" t="s">
        <v>24</v>
      </c>
      <c r="J57" s="1" t="s">
        <v>24</v>
      </c>
      <c r="L57" s="1" t="s">
        <v>24</v>
      </c>
      <c r="N57" s="1" t="s">
        <v>24</v>
      </c>
      <c r="P57" s="1"/>
      <c r="Q57" s="5"/>
      <c r="R57" s="1"/>
      <c r="S57" s="5"/>
      <c r="T57" s="1"/>
      <c r="U57" s="5"/>
      <c r="V57" s="1"/>
      <c r="W57" s="5"/>
      <c r="X57" s="1"/>
      <c r="Y57" s="5"/>
      <c r="Z57" s="1"/>
      <c r="AA57" s="5"/>
      <c r="AB57" s="1"/>
    </row>
    <row r="58" spans="2:28" ht="4" customHeight="1">
      <c r="B58" s="1" t="str">
        <f>"[" &amp; 入力用シート!$D$9 &amp; ":" &amp; 入力用シート!$E$9 &amp; "-pref.]"</f>
        <v>[JP:-pref.]</v>
      </c>
      <c r="D58" s="1" t="s">
        <v>62</v>
      </c>
      <c r="F58" s="1" t="s">
        <v>62</v>
      </c>
      <c r="H58" s="1" t="s">
        <v>62</v>
      </c>
      <c r="J58" s="1" t="s">
        <v>62</v>
      </c>
      <c r="L58" s="1" t="s">
        <v>62</v>
      </c>
      <c r="N58" s="1" t="s">
        <v>62</v>
      </c>
      <c r="P58" s="1"/>
      <c r="Q58" s="5"/>
      <c r="R58" s="1"/>
      <c r="S58" s="5"/>
      <c r="T58" s="1"/>
      <c r="U58" s="5"/>
      <c r="V58" s="1"/>
      <c r="W58" s="5"/>
      <c r="X58" s="1"/>
      <c r="Y58" s="5"/>
      <c r="Z58" s="1"/>
      <c r="AA58" s="5"/>
      <c r="AB58" s="1"/>
    </row>
    <row r="59" spans="2:28" ht="4" customHeight="1">
      <c r="B59" s="10" t="str">
        <f>入力用シート!F9 &amp; ", " &amp; 入力用シート!G9 &amp; IF(入力用シート!H9&lt;&gt;"", ", " &amp; 入力用シート!H9 &amp; ".,", "")</f>
        <v xml:space="preserve">, </v>
      </c>
      <c r="D59" s="10" t="s">
        <v>124</v>
      </c>
      <c r="F59" s="10" t="s">
        <v>124</v>
      </c>
      <c r="H59" s="10" t="s">
        <v>124</v>
      </c>
      <c r="J59" s="10" t="s">
        <v>124</v>
      </c>
      <c r="L59" s="10" t="s">
        <v>124</v>
      </c>
      <c r="N59" s="10" t="s">
        <v>124</v>
      </c>
      <c r="P59" s="4"/>
      <c r="Q59" s="5"/>
      <c r="R59" s="4"/>
      <c r="S59" s="5"/>
      <c r="T59" s="4"/>
      <c r="U59" s="5"/>
      <c r="V59" s="4"/>
      <c r="W59" s="5"/>
      <c r="X59" s="4"/>
      <c r="Y59" s="5"/>
      <c r="Z59" s="4"/>
      <c r="AA59" s="5"/>
      <c r="AB59" s="4"/>
    </row>
    <row r="60" spans="2:28" ht="4" customHeight="1">
      <c r="B60" s="2" t="str">
        <f>入力用シート!$I$9 &amp; "-" &amp; 入力用シート!$J$9 &amp; IF(入力用シート!$K$9&lt;&gt;"", ", (alt." &amp; 入力用シート!$K$9 &amp; "m)", "")</f>
        <v>-</v>
      </c>
      <c r="D60" s="2" t="s">
        <v>125</v>
      </c>
      <c r="F60" s="2" t="s">
        <v>125</v>
      </c>
      <c r="H60" s="2" t="s">
        <v>125</v>
      </c>
      <c r="J60" s="2" t="s">
        <v>125</v>
      </c>
      <c r="L60" s="2" t="s">
        <v>125</v>
      </c>
      <c r="N60" s="2" t="s">
        <v>125</v>
      </c>
      <c r="P60" s="2"/>
      <c r="Q60" s="5"/>
      <c r="R60" s="2"/>
      <c r="S60" s="5"/>
      <c r="T60" s="2"/>
      <c r="U60" s="5"/>
      <c r="V60" s="2"/>
      <c r="W60" s="5"/>
      <c r="X60" s="2"/>
      <c r="Y60" s="5"/>
      <c r="Z60" s="2"/>
      <c r="AA60" s="5"/>
      <c r="AB60" s="2"/>
    </row>
    <row r="61" spans="2:28" ht="3" customHeight="1">
      <c r="B61" s="2" t="str">
        <f>入力用シート!$N$9&amp;"."&amp;入力用シート!$M$9&amp;"."&amp;入力用シート!$L$9&amp;" "&amp;入力用シート!$O$9&amp;", "&amp;入力用シート!$P$9</f>
        <v>12.iv.2024 Looking, M.yamaguchi</v>
      </c>
      <c r="D61" s="2" t="s">
        <v>126</v>
      </c>
      <c r="F61" s="2" t="s">
        <v>126</v>
      </c>
      <c r="H61" s="2" t="s">
        <v>126</v>
      </c>
      <c r="J61" s="2" t="s">
        <v>126</v>
      </c>
      <c r="L61" s="2" t="s">
        <v>126</v>
      </c>
      <c r="N61" s="2" t="s">
        <v>126</v>
      </c>
      <c r="P61" s="2"/>
      <c r="Q61" s="5"/>
      <c r="R61" s="2"/>
      <c r="S61" s="5"/>
      <c r="T61" s="2"/>
      <c r="U61" s="5"/>
      <c r="V61" s="2"/>
      <c r="W61" s="5"/>
      <c r="X61" s="2"/>
      <c r="Y61" s="5"/>
      <c r="Z61" s="2"/>
      <c r="AA61" s="5"/>
      <c r="AB61" s="2"/>
    </row>
    <row r="62" spans="2:28" ht="4" customHeight="1">
      <c r="B62" s="2" t="str">
        <f>"N" &amp; TEXT(入力用シート!$R$9, "0.00000") &amp; ", E" &amp; TEXT(入力用シート!$S$9, "0.00000")</f>
        <v>N35.87618344836389, 138.57843383059884, E0.00000</v>
      </c>
      <c r="D62" s="2" t="s">
        <v>127</v>
      </c>
      <c r="F62" s="2" t="s">
        <v>127</v>
      </c>
      <c r="H62" s="2" t="s">
        <v>127</v>
      </c>
      <c r="J62" s="2" t="s">
        <v>127</v>
      </c>
      <c r="L62" s="2" t="s">
        <v>127</v>
      </c>
      <c r="N62" s="2" t="s">
        <v>127</v>
      </c>
      <c r="P62" s="2"/>
      <c r="Q62" s="5"/>
      <c r="R62" s="2"/>
      <c r="S62" s="5"/>
      <c r="T62" s="2"/>
      <c r="U62" s="5"/>
      <c r="V62" s="2"/>
      <c r="W62" s="5"/>
      <c r="X62" s="2"/>
      <c r="Y62" s="5"/>
      <c r="Z62" s="2"/>
      <c r="AA62" s="5"/>
      <c r="AB62" s="2"/>
    </row>
    <row r="63" spans="2:28" ht="4" customHeight="1">
      <c r="B63" s="2"/>
      <c r="D63" s="2"/>
      <c r="F63" s="2"/>
      <c r="H63" s="2"/>
      <c r="J63" s="2"/>
      <c r="L63" s="2"/>
      <c r="N63" s="2"/>
      <c r="P63" s="2"/>
      <c r="Q63" s="5"/>
      <c r="R63" s="2"/>
      <c r="S63" s="5"/>
      <c r="T63" s="2"/>
      <c r="U63" s="5"/>
      <c r="V63" s="2"/>
      <c r="W63" s="5"/>
      <c r="X63" s="2"/>
      <c r="Y63" s="5"/>
      <c r="Z63" s="2"/>
      <c r="AA63" s="5"/>
      <c r="AB63" s="2"/>
    </row>
    <row r="64" spans="2:28" ht="1" customHeight="1">
      <c r="B64" s="1"/>
      <c r="D64" s="1"/>
      <c r="F64" s="1"/>
      <c r="H64" s="1"/>
      <c r="J64" s="1"/>
      <c r="L64" s="1"/>
      <c r="N64" s="1"/>
      <c r="P64" s="1"/>
      <c r="Q64" s="5"/>
      <c r="R64" s="1"/>
      <c r="S64" s="5"/>
      <c r="T64" s="1"/>
      <c r="U64" s="5"/>
      <c r="V64" s="1"/>
      <c r="W64" s="5"/>
      <c r="X64" s="1"/>
      <c r="Y64" s="5"/>
      <c r="Z64" s="1"/>
      <c r="AA64" s="5"/>
      <c r="AB64" s="1"/>
    </row>
    <row r="65" spans="2:28" ht="4" customHeight="1">
      <c r="B65" s="1">
        <f>入力用シート!$C$10</f>
        <v>0</v>
      </c>
      <c r="D65" s="1" t="s">
        <v>24</v>
      </c>
      <c r="F65" s="1" t="s">
        <v>24</v>
      </c>
      <c r="H65" s="1" t="s">
        <v>24</v>
      </c>
      <c r="J65" s="1" t="s">
        <v>24</v>
      </c>
      <c r="L65" s="1" t="s">
        <v>24</v>
      </c>
      <c r="N65" s="1" t="s">
        <v>24</v>
      </c>
      <c r="P65" s="1"/>
      <c r="Q65" s="5"/>
      <c r="R65" s="1"/>
      <c r="S65" s="5"/>
      <c r="T65" s="1"/>
      <c r="U65" s="5"/>
      <c r="V65" s="1"/>
      <c r="W65" s="5"/>
      <c r="X65" s="1"/>
      <c r="Y65" s="5"/>
      <c r="Z65" s="1"/>
      <c r="AA65" s="5"/>
      <c r="AB65" s="1"/>
    </row>
    <row r="66" spans="2:28" ht="4" customHeight="1">
      <c r="B66" s="1" t="str">
        <f>"[" &amp; 入力用シート!$D$10 &amp; ":" &amp; 入力用シート!$E$10 &amp; "-pref.]"</f>
        <v>[JP:-pref.]</v>
      </c>
      <c r="D66" s="1" t="s">
        <v>62</v>
      </c>
      <c r="F66" s="1" t="s">
        <v>62</v>
      </c>
      <c r="H66" s="1" t="s">
        <v>62</v>
      </c>
      <c r="J66" s="1" t="s">
        <v>62</v>
      </c>
      <c r="L66" s="1" t="s">
        <v>62</v>
      </c>
      <c r="N66" s="1" t="s">
        <v>62</v>
      </c>
      <c r="P66" s="1"/>
      <c r="Q66" s="5"/>
      <c r="R66" s="1"/>
      <c r="S66" s="5"/>
      <c r="T66" s="1"/>
      <c r="U66" s="5"/>
      <c r="V66" s="1"/>
      <c r="W66" s="5"/>
      <c r="X66" s="1"/>
      <c r="Y66" s="5"/>
      <c r="Z66" s="1"/>
      <c r="AA66" s="5"/>
      <c r="AB66" s="1"/>
    </row>
    <row r="67" spans="2:28" ht="4" customHeight="1">
      <c r="B67" s="2" t="str">
        <f>入力用シート!F10 &amp; ", " &amp; 入力用シート!G10 &amp; IF(入力用シート!H10&lt;&gt;"", ", " &amp; 入力用シート!H10 &amp; ".,", "")</f>
        <v xml:space="preserve">, </v>
      </c>
      <c r="D67" s="2" t="s">
        <v>124</v>
      </c>
      <c r="F67" s="2" t="s">
        <v>124</v>
      </c>
      <c r="H67" s="2" t="s">
        <v>124</v>
      </c>
      <c r="J67" s="2" t="s">
        <v>124</v>
      </c>
      <c r="L67" s="2" t="s">
        <v>124</v>
      </c>
      <c r="N67" s="2" t="s">
        <v>124</v>
      </c>
      <c r="P67" s="4"/>
      <c r="Q67" s="5"/>
      <c r="R67" s="4"/>
      <c r="S67" s="5"/>
      <c r="T67" s="4"/>
      <c r="U67" s="5"/>
      <c r="V67" s="4"/>
      <c r="W67" s="5"/>
      <c r="X67" s="4"/>
      <c r="Y67" s="5"/>
      <c r="Z67" s="4"/>
      <c r="AA67" s="5"/>
      <c r="AB67" s="4"/>
    </row>
    <row r="68" spans="2:28" ht="4" customHeight="1">
      <c r="B68" s="2" t="str">
        <f>入力用シート!$I$10 &amp; "-" &amp; 入力用シート!$J$10 &amp; IF(入力用シート!$K$10&lt;&gt;"", ", (alt." &amp; 入力用シート!$K$10 &amp; "m)", "")</f>
        <v>-</v>
      </c>
      <c r="D68" s="2" t="s">
        <v>125</v>
      </c>
      <c r="F68" s="2" t="s">
        <v>125</v>
      </c>
      <c r="H68" s="2" t="s">
        <v>125</v>
      </c>
      <c r="J68" s="2" t="s">
        <v>125</v>
      </c>
      <c r="L68" s="2" t="s">
        <v>125</v>
      </c>
      <c r="N68" s="2" t="s">
        <v>125</v>
      </c>
      <c r="P68" s="2"/>
      <c r="Q68" s="5"/>
      <c r="R68" s="2"/>
      <c r="S68" s="5"/>
      <c r="T68" s="2"/>
      <c r="U68" s="5"/>
      <c r="V68" s="2"/>
      <c r="W68" s="5"/>
      <c r="X68" s="2"/>
      <c r="Y68" s="5"/>
      <c r="Z68" s="2"/>
      <c r="AA68" s="5"/>
      <c r="AB68" s="2"/>
    </row>
    <row r="69" spans="2:28" ht="3" customHeight="1">
      <c r="B69" s="2" t="str">
        <f>入力用シート!$N$10&amp;"."&amp;入力用シート!$M$10&amp;"."&amp;入力用シート!$L$10&amp;" "&amp;入力用シート!$O$10&amp;", "&amp;入力用シート!$P$10</f>
        <v>30.v.2025 Looking, M.yamaguchi</v>
      </c>
      <c r="D69" s="2" t="s">
        <v>126</v>
      </c>
      <c r="F69" s="2" t="s">
        <v>126</v>
      </c>
      <c r="H69" s="2" t="s">
        <v>126</v>
      </c>
      <c r="J69" s="2" t="s">
        <v>126</v>
      </c>
      <c r="L69" s="2" t="s">
        <v>126</v>
      </c>
      <c r="N69" s="2" t="s">
        <v>126</v>
      </c>
      <c r="P69" s="2"/>
      <c r="Q69" s="5"/>
      <c r="R69" s="2"/>
      <c r="S69" s="5"/>
      <c r="T69" s="2"/>
      <c r="U69" s="5"/>
      <c r="V69" s="2"/>
      <c r="W69" s="5"/>
      <c r="X69" s="2"/>
      <c r="Y69" s="5"/>
      <c r="Z69" s="2"/>
      <c r="AA69" s="5"/>
      <c r="AB69" s="2"/>
    </row>
    <row r="70" spans="2:28" ht="4" customHeight="1">
      <c r="B70" s="2" t="str">
        <f>"N" &amp; TEXT(入力用シート!$R$10, "0.00000") &amp; ", E" &amp; TEXT(入力用シート!$S$10, "0.00000")</f>
        <v>N35.678580002441805, 139.75390978426358, E0.00000</v>
      </c>
      <c r="D70" s="2" t="s">
        <v>127</v>
      </c>
      <c r="F70" s="2" t="s">
        <v>127</v>
      </c>
      <c r="H70" s="2" t="s">
        <v>127</v>
      </c>
      <c r="J70" s="2" t="s">
        <v>127</v>
      </c>
      <c r="L70" s="2" t="s">
        <v>127</v>
      </c>
      <c r="N70" s="2" t="s">
        <v>127</v>
      </c>
      <c r="P70" s="2"/>
      <c r="Q70" s="5"/>
      <c r="R70" s="2"/>
      <c r="S70" s="5"/>
      <c r="T70" s="2"/>
      <c r="U70" s="5"/>
      <c r="V70" s="2"/>
      <c r="W70" s="5"/>
      <c r="X70" s="2"/>
      <c r="Y70" s="5"/>
      <c r="Z70" s="2"/>
      <c r="AA70" s="5"/>
      <c r="AB70" s="2"/>
    </row>
    <row r="71" spans="2:28" ht="4" customHeight="1">
      <c r="B71" s="2"/>
      <c r="D71" s="2"/>
      <c r="F71" s="2"/>
      <c r="H71" s="2"/>
      <c r="J71" s="2"/>
      <c r="L71" s="2"/>
      <c r="N71" s="2"/>
      <c r="P71" s="2"/>
      <c r="Q71" s="5"/>
      <c r="R71" s="2"/>
      <c r="S71" s="5"/>
      <c r="T71" s="2"/>
      <c r="U71" s="5"/>
      <c r="V71" s="2"/>
      <c r="W71" s="5"/>
      <c r="X71" s="2"/>
      <c r="Y71" s="5"/>
      <c r="Z71" s="2"/>
      <c r="AA71" s="5"/>
      <c r="AB71" s="2"/>
    </row>
    <row r="72" spans="2:28" ht="1" customHeight="1">
      <c r="B72" s="1"/>
      <c r="D72" s="1"/>
      <c r="F72" s="1"/>
      <c r="H72" s="1"/>
      <c r="J72" s="1"/>
      <c r="L72" s="1"/>
      <c r="N72" s="1"/>
      <c r="P72" s="1"/>
      <c r="Q72" s="5"/>
      <c r="R72" s="1"/>
      <c r="S72" s="5"/>
      <c r="T72" s="1"/>
      <c r="U72" s="5"/>
      <c r="V72" s="1"/>
      <c r="W72" s="5"/>
      <c r="X72" s="1"/>
      <c r="Y72" s="5"/>
      <c r="Z72" s="1"/>
      <c r="AA72" s="5"/>
      <c r="AB72" s="1"/>
    </row>
    <row r="73" spans="2:28" ht="4" customHeight="1">
      <c r="B73" s="1">
        <f>入力用シート!$C$11</f>
        <v>0</v>
      </c>
      <c r="D73" s="1" t="s">
        <v>25</v>
      </c>
      <c r="F73" s="1" t="s">
        <v>25</v>
      </c>
      <c r="H73" s="1" t="s">
        <v>25</v>
      </c>
      <c r="J73" s="1" t="s">
        <v>25</v>
      </c>
      <c r="L73" s="1" t="s">
        <v>25</v>
      </c>
      <c r="N73" s="1" t="s">
        <v>25</v>
      </c>
      <c r="P73" s="1"/>
      <c r="Q73" s="5"/>
      <c r="R73" s="1"/>
      <c r="S73" s="5"/>
      <c r="T73" s="1"/>
      <c r="U73" s="5"/>
      <c r="V73" s="1"/>
      <c r="W73" s="5"/>
      <c r="X73" s="1"/>
      <c r="Y73" s="5"/>
      <c r="Z73" s="1"/>
      <c r="AA73" s="5"/>
      <c r="AB73" s="1"/>
    </row>
    <row r="74" spans="2:28" ht="4" customHeight="1">
      <c r="B74" s="1" t="str">
        <f>"[" &amp; 入力用シート!$D$11 &amp; ":" &amp; 入力用シート!$E$11 &amp; "-pref.]"</f>
        <v>[JP:-pref.]</v>
      </c>
      <c r="D74" s="1" t="s">
        <v>62</v>
      </c>
      <c r="F74" s="1" t="s">
        <v>62</v>
      </c>
      <c r="H74" s="1" t="s">
        <v>62</v>
      </c>
      <c r="J74" s="1" t="s">
        <v>62</v>
      </c>
      <c r="L74" s="1" t="s">
        <v>62</v>
      </c>
      <c r="N74" s="1" t="s">
        <v>62</v>
      </c>
      <c r="P74" s="1"/>
      <c r="Q74" s="5"/>
      <c r="R74" s="1"/>
      <c r="S74" s="5"/>
      <c r="T74" s="1"/>
      <c r="U74" s="5"/>
      <c r="V74" s="1"/>
      <c r="W74" s="5"/>
      <c r="X74" s="1"/>
      <c r="Y74" s="5"/>
      <c r="Z74" s="1"/>
      <c r="AA74" s="5"/>
      <c r="AB74" s="1"/>
    </row>
    <row r="75" spans="2:28" ht="4" customHeight="1">
      <c r="B75" s="9" t="str">
        <f>入力用シート!F11 &amp; ", " &amp; 入力用シート!G11 &amp; IF(入力用シート!H11&lt;&gt;"", ", " &amp; 入力用シート!H11 &amp; ".,", "")</f>
        <v xml:space="preserve">, </v>
      </c>
      <c r="D75" s="9" t="s">
        <v>128</v>
      </c>
      <c r="F75" s="9" t="s">
        <v>128</v>
      </c>
      <c r="H75" s="9" t="s">
        <v>128</v>
      </c>
      <c r="J75" s="9" t="s">
        <v>128</v>
      </c>
      <c r="L75" s="9" t="s">
        <v>128</v>
      </c>
      <c r="N75" s="9" t="s">
        <v>128</v>
      </c>
      <c r="P75" s="4"/>
      <c r="Q75" s="5"/>
      <c r="R75" s="4"/>
      <c r="S75" s="5"/>
      <c r="T75" s="4"/>
      <c r="U75" s="5"/>
      <c r="V75" s="4"/>
      <c r="W75" s="5"/>
      <c r="X75" s="4"/>
      <c r="Y75" s="5"/>
      <c r="Z75" s="4"/>
      <c r="AA75" s="5"/>
      <c r="AB75" s="4"/>
    </row>
    <row r="76" spans="2:28" ht="4" customHeight="1">
      <c r="B76" s="2" t="str">
        <f>入力用シート!$I$11 &amp; "-" &amp; 入力用シート!$J$11 &amp; IF(入力用シート!$K$11&lt;&gt;"", ", (alt." &amp; 入力用シート!$K$11 &amp; "m)", "")</f>
        <v>-</v>
      </c>
      <c r="D76" s="2" t="s">
        <v>129</v>
      </c>
      <c r="F76" s="2" t="s">
        <v>129</v>
      </c>
      <c r="H76" s="2" t="s">
        <v>129</v>
      </c>
      <c r="J76" s="2" t="s">
        <v>129</v>
      </c>
      <c r="L76" s="2" t="s">
        <v>129</v>
      </c>
      <c r="N76" s="2" t="s">
        <v>129</v>
      </c>
      <c r="P76" s="2"/>
      <c r="Q76" s="5"/>
      <c r="R76" s="2"/>
      <c r="S76" s="5"/>
      <c r="T76" s="2"/>
      <c r="U76" s="5"/>
      <c r="V76" s="2"/>
      <c r="W76" s="5"/>
      <c r="X76" s="2"/>
      <c r="Y76" s="5"/>
      <c r="Z76" s="2"/>
      <c r="AA76" s="5"/>
      <c r="AB76" s="2"/>
    </row>
    <row r="77" spans="2:28" ht="3" customHeight="1">
      <c r="B77" s="2" t="str">
        <f>入力用シート!$N$11&amp;"."&amp;入力用シート!$M$11&amp;"."&amp;入力用シート!$L$11&amp;" "&amp;入力用シート!$O$11&amp;", "&amp;入力用シート!$P$11</f>
        <v>5.v.2024 Looking, M.yamaguchi</v>
      </c>
      <c r="D77" s="2" t="s">
        <v>126</v>
      </c>
      <c r="F77" s="2" t="s">
        <v>126</v>
      </c>
      <c r="H77" s="2" t="s">
        <v>126</v>
      </c>
      <c r="J77" s="2" t="s">
        <v>126</v>
      </c>
      <c r="L77" s="2" t="s">
        <v>126</v>
      </c>
      <c r="N77" s="2" t="s">
        <v>126</v>
      </c>
      <c r="P77" s="2"/>
      <c r="Q77" s="5"/>
      <c r="R77" s="2"/>
      <c r="S77" s="5"/>
      <c r="T77" s="2"/>
      <c r="U77" s="5"/>
      <c r="V77" s="2"/>
      <c r="W77" s="5"/>
      <c r="X77" s="2"/>
      <c r="Y77" s="5"/>
      <c r="Z77" s="2"/>
      <c r="AA77" s="5"/>
      <c r="AB77" s="2"/>
    </row>
    <row r="78" spans="2:28" ht="4" customHeight="1">
      <c r="B78" s="2" t="str">
        <f>"N" &amp; TEXT(入力用シート!$R$11, "0.00000") &amp; ", E" &amp; TEXT(入力用シート!$S$11, "0.00000")</f>
        <v>N43.89158915225782, 142.45833211063322, E0.00000</v>
      </c>
      <c r="D78" s="2" t="s">
        <v>130</v>
      </c>
      <c r="F78" s="2" t="s">
        <v>130</v>
      </c>
      <c r="H78" s="2" t="s">
        <v>130</v>
      </c>
      <c r="J78" s="2" t="s">
        <v>130</v>
      </c>
      <c r="L78" s="2" t="s">
        <v>130</v>
      </c>
      <c r="N78" s="2" t="s">
        <v>130</v>
      </c>
      <c r="P78" s="2"/>
      <c r="Q78" s="5"/>
      <c r="R78" s="2"/>
      <c r="S78" s="5"/>
      <c r="T78" s="2"/>
      <c r="U78" s="5"/>
      <c r="V78" s="2"/>
      <c r="W78" s="5"/>
      <c r="X78" s="2"/>
      <c r="Y78" s="5"/>
      <c r="Z78" s="2"/>
      <c r="AA78" s="5"/>
      <c r="AB78" s="2"/>
    </row>
    <row r="79" spans="2:28" ht="4" customHeight="1">
      <c r="B79" s="2"/>
      <c r="D79" s="2"/>
      <c r="F79" s="2"/>
      <c r="H79" s="2"/>
      <c r="J79" s="2"/>
      <c r="L79" s="2"/>
      <c r="N79" s="2"/>
      <c r="P79" s="2"/>
      <c r="Q79" s="5"/>
      <c r="R79" s="2"/>
      <c r="S79" s="5"/>
      <c r="T79" s="2"/>
      <c r="U79" s="5"/>
      <c r="V79" s="2"/>
      <c r="W79" s="5"/>
      <c r="X79" s="2"/>
      <c r="Y79" s="5"/>
      <c r="Z79" s="2"/>
      <c r="AA79" s="5"/>
      <c r="AB79" s="2"/>
    </row>
    <row r="80" spans="2:28" ht="1" customHeight="1">
      <c r="B80" s="1"/>
      <c r="D80" s="1"/>
      <c r="F80" s="1"/>
      <c r="H80" s="1"/>
      <c r="J80" s="1"/>
      <c r="L80" s="1"/>
      <c r="N80" s="1"/>
      <c r="P80" s="1"/>
      <c r="Q80" s="5"/>
      <c r="R80" s="1"/>
      <c r="S80" s="5"/>
      <c r="T80" s="1"/>
      <c r="U80" s="5"/>
      <c r="V80" s="1"/>
      <c r="W80" s="5"/>
      <c r="X80" s="1"/>
      <c r="Y80" s="5"/>
      <c r="Z80" s="1"/>
      <c r="AA80" s="5"/>
      <c r="AB80" s="1"/>
    </row>
    <row r="81" spans="2:28" ht="4" customHeight="1">
      <c r="B81" s="1">
        <f>入力用シート!$C$12</f>
        <v>0</v>
      </c>
      <c r="D81" s="1" t="s">
        <v>25</v>
      </c>
      <c r="F81" s="1" t="s">
        <v>25</v>
      </c>
      <c r="H81" s="1" t="s">
        <v>25</v>
      </c>
      <c r="J81" s="1" t="s">
        <v>25</v>
      </c>
      <c r="L81" s="1" t="s">
        <v>25</v>
      </c>
      <c r="N81" s="1" t="s">
        <v>25</v>
      </c>
      <c r="P81" s="1"/>
      <c r="Q81" s="5"/>
      <c r="R81" s="1"/>
      <c r="S81" s="5"/>
      <c r="T81" s="1"/>
      <c r="U81" s="5"/>
      <c r="V81" s="1"/>
      <c r="W81" s="5"/>
      <c r="X81" s="1"/>
      <c r="Y81" s="5"/>
      <c r="Z81" s="1"/>
      <c r="AA81" s="5"/>
      <c r="AB81" s="1"/>
    </row>
    <row r="82" spans="2:28" ht="4" customHeight="1">
      <c r="B82" s="1" t="str">
        <f>"[" &amp; 入力用シート!$D$12 &amp; ":" &amp; 入力用シート!$E$12 &amp; "-pref.]"</f>
        <v>[JP:-pref.]</v>
      </c>
      <c r="D82" s="1" t="s">
        <v>62</v>
      </c>
      <c r="F82" s="1" t="s">
        <v>62</v>
      </c>
      <c r="H82" s="1" t="s">
        <v>62</v>
      </c>
      <c r="J82" s="1" t="s">
        <v>62</v>
      </c>
      <c r="L82" s="1" t="s">
        <v>62</v>
      </c>
      <c r="N82" s="1" t="s">
        <v>62</v>
      </c>
      <c r="P82" s="1"/>
      <c r="Q82" s="5"/>
      <c r="R82" s="1"/>
      <c r="S82" s="5"/>
      <c r="T82" s="1"/>
      <c r="U82" s="5"/>
      <c r="V82" s="1"/>
      <c r="W82" s="5"/>
      <c r="X82" s="1"/>
      <c r="Y82" s="5"/>
      <c r="Z82" s="1"/>
      <c r="AA82" s="5"/>
      <c r="AB82" s="1"/>
    </row>
    <row r="83" spans="2:28" ht="4" customHeight="1">
      <c r="B83" s="9" t="str">
        <f>入力用シート!F12 &amp; ", " &amp; 入力用シート!G12 &amp; IF(入力用シート!H12&lt;&gt;"", ", " &amp; 入力用シート!H12 &amp; ".,", "")</f>
        <v xml:space="preserve">, </v>
      </c>
      <c r="D83" s="9" t="s">
        <v>128</v>
      </c>
      <c r="F83" s="9" t="s">
        <v>128</v>
      </c>
      <c r="H83" s="9" t="s">
        <v>128</v>
      </c>
      <c r="J83" s="9" t="s">
        <v>128</v>
      </c>
      <c r="L83" s="9" t="s">
        <v>128</v>
      </c>
      <c r="N83" s="9" t="s">
        <v>128</v>
      </c>
      <c r="P83" s="4"/>
      <c r="Q83" s="5"/>
      <c r="R83" s="4"/>
      <c r="S83" s="5"/>
      <c r="T83" s="4"/>
      <c r="U83" s="5"/>
      <c r="V83" s="4"/>
      <c r="W83" s="5"/>
      <c r="X83" s="4"/>
      <c r="Y83" s="5"/>
      <c r="Z83" s="4"/>
      <c r="AA83" s="5"/>
      <c r="AB83" s="4"/>
    </row>
    <row r="84" spans="2:28" ht="4" customHeight="1">
      <c r="B84" s="2" t="str">
        <f>入力用シート!$I$12 &amp; "-" &amp; 入力用シート!$J$12 &amp; IF(入力用シート!$K$12&lt;&gt;"", ", (alt." &amp; 入力用シート!$K$12 &amp; "m)", "")</f>
        <v>-</v>
      </c>
      <c r="D84" s="2" t="s">
        <v>129</v>
      </c>
      <c r="F84" s="2" t="s">
        <v>129</v>
      </c>
      <c r="H84" s="2" t="s">
        <v>129</v>
      </c>
      <c r="J84" s="2" t="s">
        <v>129</v>
      </c>
      <c r="L84" s="2" t="s">
        <v>129</v>
      </c>
      <c r="N84" s="2" t="s">
        <v>129</v>
      </c>
      <c r="P84" s="2"/>
      <c r="Q84" s="5"/>
      <c r="R84" s="2"/>
      <c r="S84" s="5"/>
      <c r="T84" s="2"/>
      <c r="U84" s="5"/>
      <c r="V84" s="2"/>
      <c r="W84" s="5"/>
      <c r="X84" s="2"/>
      <c r="Y84" s="5"/>
      <c r="Z84" s="2"/>
      <c r="AA84" s="5"/>
      <c r="AB84" s="2"/>
    </row>
    <row r="85" spans="2:28" ht="3" customHeight="1">
      <c r="B85" s="2" t="str">
        <f>入力用シート!$N$12&amp;"."&amp;入力用シート!$M$12&amp;"."&amp;入力用シート!$L$12&amp;" "&amp;入力用シート!$O$12&amp;", "&amp;入力用シート!$P$12</f>
        <v>28.viii.2024 Looking, M.yamaguchi</v>
      </c>
      <c r="D85" s="2" t="s">
        <v>126</v>
      </c>
      <c r="F85" s="2" t="s">
        <v>126</v>
      </c>
      <c r="H85" s="2" t="s">
        <v>126</v>
      </c>
      <c r="J85" s="2" t="s">
        <v>126</v>
      </c>
      <c r="L85" s="2" t="s">
        <v>126</v>
      </c>
      <c r="N85" s="2" t="s">
        <v>126</v>
      </c>
      <c r="P85" s="2"/>
      <c r="Q85" s="5"/>
      <c r="R85" s="2"/>
      <c r="S85" s="5"/>
      <c r="T85" s="2"/>
      <c r="U85" s="5"/>
      <c r="V85" s="2"/>
      <c r="W85" s="5"/>
      <c r="X85" s="2"/>
      <c r="Y85" s="5"/>
      <c r="Z85" s="2"/>
      <c r="AA85" s="5"/>
      <c r="AB85" s="2"/>
    </row>
    <row r="86" spans="2:28" ht="4" customHeight="1">
      <c r="B86" s="2" t="str">
        <f>"N" &amp; TEXT(入力用シート!$R$12, "0.00000") &amp; ", E" &amp; TEXT(入力用シート!$S$12, "0.00000")</f>
        <v>N35.64147570947369, 138.80963461057075, E0.00000</v>
      </c>
      <c r="D86" s="2" t="s">
        <v>130</v>
      </c>
      <c r="F86" s="2" t="s">
        <v>130</v>
      </c>
      <c r="H86" s="2" t="s">
        <v>130</v>
      </c>
      <c r="J86" s="2" t="s">
        <v>130</v>
      </c>
      <c r="L86" s="2" t="s">
        <v>130</v>
      </c>
      <c r="N86" s="2" t="s">
        <v>130</v>
      </c>
      <c r="P86" s="2"/>
      <c r="Q86" s="5"/>
      <c r="R86" s="2"/>
      <c r="S86" s="5"/>
      <c r="T86" s="2"/>
      <c r="U86" s="5"/>
      <c r="V86" s="2"/>
      <c r="W86" s="5"/>
      <c r="X86" s="2"/>
      <c r="Y86" s="5"/>
      <c r="Z86" s="2"/>
      <c r="AA86" s="5"/>
      <c r="AB86" s="2"/>
    </row>
    <row r="87" spans="2:28" ht="4" customHeight="1">
      <c r="B87" s="2"/>
      <c r="D87" s="2"/>
      <c r="F87" s="2"/>
      <c r="H87" s="2"/>
      <c r="J87" s="2"/>
      <c r="L87" s="2"/>
      <c r="N87" s="2"/>
      <c r="P87" s="2"/>
      <c r="Q87" s="5"/>
      <c r="R87" s="2"/>
      <c r="S87" s="5"/>
      <c r="T87" s="2"/>
      <c r="U87" s="5"/>
      <c r="V87" s="2"/>
      <c r="W87" s="5"/>
      <c r="X87" s="2"/>
      <c r="Y87" s="5"/>
      <c r="Z87" s="2"/>
      <c r="AA87" s="5"/>
      <c r="AB87" s="2"/>
    </row>
    <row r="88" spans="2:28" ht="1" customHeight="1">
      <c r="B88" s="1"/>
      <c r="D88" s="1"/>
      <c r="F88" s="1"/>
      <c r="H88" s="1"/>
      <c r="J88" s="1"/>
      <c r="L88" s="1"/>
      <c r="N88" s="1"/>
      <c r="P88" s="1"/>
      <c r="Q88" s="5"/>
      <c r="R88" s="1"/>
      <c r="S88" s="5"/>
      <c r="T88" s="1"/>
      <c r="U88" s="5"/>
      <c r="V88" s="1"/>
      <c r="W88" s="5"/>
      <c r="X88" s="1"/>
      <c r="Y88" s="5"/>
      <c r="Z88" s="1"/>
      <c r="AA88" s="5"/>
      <c r="AB88" s="1"/>
    </row>
    <row r="89" spans="2:28" ht="4" customHeight="1">
      <c r="B89" s="1">
        <f>入力用シート!$C$13</f>
        <v>0</v>
      </c>
      <c r="D89" s="1" t="s">
        <v>25</v>
      </c>
      <c r="F89" s="1" t="s">
        <v>25</v>
      </c>
      <c r="H89" s="1" t="s">
        <v>25</v>
      </c>
      <c r="J89" s="1" t="s">
        <v>25</v>
      </c>
      <c r="L89" s="1" t="s">
        <v>25</v>
      </c>
      <c r="N89" s="1" t="s">
        <v>25</v>
      </c>
      <c r="P89" s="1"/>
      <c r="Q89" s="5"/>
      <c r="R89" s="1"/>
      <c r="S89" s="5"/>
      <c r="T89" s="1"/>
      <c r="U89" s="5"/>
      <c r="V89" s="1"/>
      <c r="W89" s="5"/>
      <c r="X89" s="1"/>
      <c r="Y89" s="5"/>
      <c r="Z89" s="1"/>
      <c r="AA89" s="5"/>
      <c r="AB89" s="1"/>
    </row>
    <row r="90" spans="2:28" ht="4" customHeight="1">
      <c r="B90" s="1" t="str">
        <f>"[" &amp; 入力用シート!$D$13 &amp; ":" &amp; 入力用シート!$E$13 &amp; "-pref.]"</f>
        <v>[JP:-pref.]</v>
      </c>
      <c r="D90" s="1" t="s">
        <v>62</v>
      </c>
      <c r="F90" s="1" t="s">
        <v>62</v>
      </c>
      <c r="H90" s="1" t="s">
        <v>62</v>
      </c>
      <c r="J90" s="1" t="s">
        <v>62</v>
      </c>
      <c r="L90" s="1" t="s">
        <v>62</v>
      </c>
      <c r="N90" s="1" t="s">
        <v>62</v>
      </c>
      <c r="P90" s="1"/>
      <c r="Q90" s="5"/>
      <c r="R90" s="1"/>
      <c r="S90" s="5"/>
      <c r="T90" s="1"/>
      <c r="U90" s="5"/>
      <c r="V90" s="1"/>
      <c r="W90" s="5"/>
      <c r="X90" s="1"/>
      <c r="Y90" s="5"/>
      <c r="Z90" s="1"/>
      <c r="AA90" s="5"/>
      <c r="AB90" s="1"/>
    </row>
    <row r="91" spans="2:28" ht="4" customHeight="1">
      <c r="B91" s="9" t="str">
        <f>入力用シート!F13 &amp; ", " &amp; 入力用シート!G13 &amp; IF(入力用シート!H13&lt;&gt;"", ", " &amp; 入力用シート!H13 &amp; ".,", "")</f>
        <v xml:space="preserve">, </v>
      </c>
      <c r="D91" s="9" t="s">
        <v>128</v>
      </c>
      <c r="F91" s="9" t="s">
        <v>128</v>
      </c>
      <c r="H91" s="9" t="s">
        <v>128</v>
      </c>
      <c r="J91" s="9" t="s">
        <v>128</v>
      </c>
      <c r="L91" s="9" t="s">
        <v>128</v>
      </c>
      <c r="N91" s="9" t="s">
        <v>128</v>
      </c>
      <c r="P91" s="4"/>
      <c r="Q91" s="5"/>
      <c r="R91" s="4"/>
      <c r="S91" s="5"/>
      <c r="T91" s="4"/>
      <c r="U91" s="5"/>
      <c r="V91" s="4"/>
      <c r="W91" s="5"/>
      <c r="X91" s="4"/>
      <c r="Y91" s="5"/>
      <c r="Z91" s="4"/>
      <c r="AA91" s="5"/>
      <c r="AB91" s="4"/>
    </row>
    <row r="92" spans="2:28" ht="4" customHeight="1">
      <c r="B92" s="2" t="str">
        <f>入力用シート!$I$13 &amp; "-" &amp; 入力用シート!$J$13 &amp; IF(入力用シート!$K$13&lt;&gt;"", ", (alt." &amp; 入力用シート!$K$13 &amp; "m)", "")</f>
        <v>-</v>
      </c>
      <c r="D92" s="2" t="s">
        <v>129</v>
      </c>
      <c r="F92" s="2" t="s">
        <v>129</v>
      </c>
      <c r="H92" s="2" t="s">
        <v>129</v>
      </c>
      <c r="J92" s="2" t="s">
        <v>129</v>
      </c>
      <c r="L92" s="2" t="s">
        <v>129</v>
      </c>
      <c r="N92" s="2" t="s">
        <v>129</v>
      </c>
      <c r="P92" s="2"/>
      <c r="Q92" s="5"/>
      <c r="R92" s="2"/>
      <c r="S92" s="5"/>
      <c r="T92" s="2"/>
      <c r="U92" s="5"/>
      <c r="V92" s="2"/>
      <c r="W92" s="5"/>
      <c r="X92" s="2"/>
      <c r="Y92" s="5"/>
      <c r="Z92" s="2"/>
      <c r="AA92" s="5"/>
      <c r="AB92" s="2"/>
    </row>
    <row r="93" spans="2:28" ht="3" customHeight="1">
      <c r="B93" s="2" t="str">
        <f>入力用シート!$N$13&amp;"."&amp;入力用シート!$M$13&amp;"."&amp;入力用シート!$L$13&amp;" "&amp;入力用シート!$O$13&amp;", "&amp;入力用シート!$P$13</f>
        <v>19.iv.2025 Loioking, K.harada</v>
      </c>
      <c r="D93" s="2" t="s">
        <v>126</v>
      </c>
      <c r="F93" s="2" t="s">
        <v>126</v>
      </c>
      <c r="H93" s="2" t="s">
        <v>126</v>
      </c>
      <c r="J93" s="2" t="s">
        <v>126</v>
      </c>
      <c r="L93" s="2" t="s">
        <v>126</v>
      </c>
      <c r="N93" s="2" t="s">
        <v>126</v>
      </c>
      <c r="P93" s="2"/>
      <c r="Q93" s="5"/>
      <c r="R93" s="2"/>
      <c r="S93" s="5"/>
      <c r="T93" s="2"/>
      <c r="U93" s="5"/>
      <c r="V93" s="2"/>
      <c r="W93" s="5"/>
      <c r="X93" s="2"/>
      <c r="Y93" s="5"/>
      <c r="Z93" s="2"/>
      <c r="AA93" s="5"/>
      <c r="AB93" s="2"/>
    </row>
    <row r="94" spans="2:28" ht="4" customHeight="1">
      <c r="B94" s="2" t="str">
        <f>"N" &amp; TEXT(入力用シート!$R$13, "0.00000") &amp; ", E" &amp; TEXT(入力用シート!$S$13, "0.00000")</f>
        <v>N34.73127914013429, 139.3922700951225, E0.00000</v>
      </c>
      <c r="D94" s="2" t="s">
        <v>130</v>
      </c>
      <c r="F94" s="2" t="s">
        <v>130</v>
      </c>
      <c r="H94" s="2" t="s">
        <v>130</v>
      </c>
      <c r="J94" s="2" t="s">
        <v>130</v>
      </c>
      <c r="L94" s="2" t="s">
        <v>130</v>
      </c>
      <c r="N94" s="2" t="s">
        <v>130</v>
      </c>
      <c r="P94" s="2"/>
      <c r="Q94" s="5"/>
      <c r="R94" s="2"/>
      <c r="S94" s="5"/>
      <c r="T94" s="2"/>
      <c r="U94" s="5"/>
      <c r="V94" s="2"/>
      <c r="W94" s="5"/>
      <c r="X94" s="2"/>
      <c r="Y94" s="5"/>
      <c r="Z94" s="2"/>
      <c r="AA94" s="5"/>
      <c r="AB94" s="2"/>
    </row>
    <row r="95" spans="2:28" ht="4" customHeight="1">
      <c r="B95" s="2"/>
      <c r="D95" s="2"/>
      <c r="F95" s="2"/>
      <c r="H95" s="2"/>
      <c r="J95" s="2"/>
      <c r="L95" s="2"/>
      <c r="N95" s="2"/>
      <c r="P95" s="2"/>
      <c r="Q95" s="5"/>
      <c r="R95" s="2"/>
      <c r="S95" s="5"/>
      <c r="T95" s="2"/>
      <c r="U95" s="5"/>
      <c r="V95" s="2"/>
      <c r="W95" s="5"/>
      <c r="X95" s="2"/>
      <c r="Y95" s="5"/>
      <c r="Z95" s="2"/>
      <c r="AA95" s="5"/>
      <c r="AB95" s="2"/>
    </row>
    <row r="96" spans="2:28" ht="1" customHeight="1">
      <c r="B96" s="1"/>
      <c r="D96" s="1"/>
      <c r="F96" s="1"/>
      <c r="H96" s="1"/>
      <c r="J96" s="1"/>
      <c r="L96" s="1"/>
      <c r="N96" s="1"/>
      <c r="P96" s="1"/>
      <c r="Q96" s="5"/>
      <c r="R96" s="1"/>
      <c r="S96" s="5"/>
      <c r="T96" s="1"/>
      <c r="U96" s="5"/>
      <c r="V96" s="1"/>
      <c r="W96" s="5"/>
      <c r="X96" s="1"/>
      <c r="Y96" s="5"/>
      <c r="Z96" s="1"/>
      <c r="AA96" s="5"/>
      <c r="AB96" s="1"/>
    </row>
    <row r="97" spans="2:28" ht="4" customHeight="1">
      <c r="B97" s="1">
        <f>入力用シート!$C$14</f>
        <v>0</v>
      </c>
      <c r="D97" s="1" t="s">
        <v>25</v>
      </c>
      <c r="F97" s="1" t="s">
        <v>25</v>
      </c>
      <c r="H97" s="1" t="s">
        <v>25</v>
      </c>
      <c r="J97" s="1" t="s">
        <v>25</v>
      </c>
      <c r="L97" s="1" t="s">
        <v>25</v>
      </c>
      <c r="N97" s="1" t="s">
        <v>25</v>
      </c>
      <c r="P97" s="1"/>
      <c r="Q97" s="5"/>
      <c r="R97" s="1"/>
      <c r="S97" s="5"/>
      <c r="T97" s="1"/>
      <c r="U97" s="5"/>
      <c r="V97" s="1"/>
      <c r="W97" s="5"/>
      <c r="X97" s="1"/>
      <c r="Y97" s="5"/>
      <c r="Z97" s="1"/>
      <c r="AA97" s="5"/>
      <c r="AB97" s="1"/>
    </row>
    <row r="98" spans="2:28" ht="4" customHeight="1">
      <c r="B98" s="1" t="str">
        <f>"[" &amp; 入力用シート!$D$14 &amp; ":" &amp; 入力用シート!$E$14 &amp; "-pref.]"</f>
        <v>[:-pref.]</v>
      </c>
      <c r="D98" s="1" t="s">
        <v>62</v>
      </c>
      <c r="F98" s="1" t="s">
        <v>62</v>
      </c>
      <c r="H98" s="1" t="s">
        <v>62</v>
      </c>
      <c r="J98" s="1" t="s">
        <v>62</v>
      </c>
      <c r="L98" s="1" t="s">
        <v>62</v>
      </c>
      <c r="N98" s="1" t="s">
        <v>62</v>
      </c>
      <c r="P98" s="1"/>
      <c r="Q98" s="5"/>
      <c r="R98" s="1"/>
      <c r="S98" s="5"/>
      <c r="T98" s="1"/>
      <c r="U98" s="5"/>
      <c r="V98" s="1"/>
      <c r="W98" s="5"/>
      <c r="X98" s="1"/>
      <c r="Y98" s="5"/>
      <c r="Z98" s="1"/>
      <c r="AA98" s="5"/>
      <c r="AB98" s="1"/>
    </row>
    <row r="99" spans="2:28" ht="4" customHeight="1">
      <c r="B99" s="10" t="str">
        <f>入力用シート!F14 &amp; ", " &amp; 入力用シート!G14 &amp; IF(入力用シート!H14&lt;&gt;"", ", " &amp; 入力用シート!H14 &amp; ".,", "")</f>
        <v xml:space="preserve">, </v>
      </c>
      <c r="D99" s="10" t="s">
        <v>128</v>
      </c>
      <c r="F99" s="10" t="s">
        <v>128</v>
      </c>
      <c r="H99" s="10" t="s">
        <v>128</v>
      </c>
      <c r="J99" s="10" t="s">
        <v>128</v>
      </c>
      <c r="L99" s="10" t="s">
        <v>128</v>
      </c>
      <c r="N99" s="10" t="s">
        <v>128</v>
      </c>
      <c r="P99" s="4"/>
      <c r="Q99" s="5"/>
      <c r="R99" s="4"/>
      <c r="S99" s="5"/>
      <c r="T99" s="4"/>
      <c r="U99" s="5"/>
      <c r="V99" s="4"/>
      <c r="W99" s="5"/>
      <c r="X99" s="4"/>
      <c r="Y99" s="5"/>
      <c r="Z99" s="4"/>
      <c r="AA99" s="5"/>
      <c r="AB99" s="4"/>
    </row>
    <row r="100" spans="2:28" ht="4" customHeight="1">
      <c r="B100" s="2" t="str">
        <f>入力用シート!$I$14 &amp; "-" &amp; 入力用シート!$J$14 &amp; IF(入力用シート!$K$14&lt;&gt;"", ", (alt." &amp; 入力用シート!$K$14 &amp; "m)", "")</f>
        <v>-</v>
      </c>
      <c r="D100" s="2" t="s">
        <v>129</v>
      </c>
      <c r="F100" s="2" t="s">
        <v>129</v>
      </c>
      <c r="H100" s="2" t="s">
        <v>129</v>
      </c>
      <c r="J100" s="2" t="s">
        <v>129</v>
      </c>
      <c r="L100" s="2" t="s">
        <v>129</v>
      </c>
      <c r="N100" s="2" t="s">
        <v>129</v>
      </c>
      <c r="P100" s="2"/>
      <c r="Q100" s="5"/>
      <c r="R100" s="2"/>
      <c r="S100" s="5"/>
      <c r="T100" s="2"/>
      <c r="U100" s="5"/>
      <c r="V100" s="2"/>
      <c r="W100" s="5"/>
      <c r="X100" s="2"/>
      <c r="Y100" s="5"/>
      <c r="Z100" s="2"/>
      <c r="AA100" s="5"/>
      <c r="AB100" s="2"/>
    </row>
    <row r="101" spans="2:28" ht="3" customHeight="1">
      <c r="B101" s="2" t="str">
        <f>入力用シート!$N$14&amp;"."&amp;入力用シート!$M$14&amp;"."&amp;入力用シート!$L$14&amp;" "&amp;入力用シート!$O$14&amp;", "&amp;入力用シート!$P$14</f>
        <v xml:space="preserve">.. , </v>
      </c>
      <c r="D101" s="2" t="s">
        <v>126</v>
      </c>
      <c r="F101" s="2" t="s">
        <v>126</v>
      </c>
      <c r="H101" s="2" t="s">
        <v>126</v>
      </c>
      <c r="J101" s="2" t="s">
        <v>126</v>
      </c>
      <c r="L101" s="2" t="s">
        <v>126</v>
      </c>
      <c r="N101" s="2" t="s">
        <v>126</v>
      </c>
      <c r="P101" s="2"/>
      <c r="Q101" s="5"/>
      <c r="R101" s="2"/>
      <c r="S101" s="5"/>
      <c r="T101" s="2"/>
      <c r="U101" s="5"/>
      <c r="V101" s="2"/>
      <c r="W101" s="5"/>
      <c r="X101" s="2"/>
      <c r="Y101" s="5"/>
      <c r="Z101" s="2"/>
      <c r="AA101" s="5"/>
      <c r="AB101" s="2"/>
    </row>
    <row r="102" spans="2:28" ht="4" customHeight="1">
      <c r="B102" s="2" t="str">
        <f>"N" &amp; TEXT(入力用シート!$R$14, "0.00000") &amp; ", E" &amp; TEXT(入力用シート!$S$14, "0.00000")</f>
        <v>N0.00000, E0.00000</v>
      </c>
      <c r="D102" s="2" t="s">
        <v>130</v>
      </c>
      <c r="F102" s="2" t="s">
        <v>130</v>
      </c>
      <c r="H102" s="2" t="s">
        <v>130</v>
      </c>
      <c r="J102" s="2" t="s">
        <v>130</v>
      </c>
      <c r="L102" s="2" t="s">
        <v>130</v>
      </c>
      <c r="N102" s="2" t="s">
        <v>130</v>
      </c>
      <c r="P102" s="2"/>
      <c r="Q102" s="5"/>
      <c r="R102" s="2"/>
      <c r="S102" s="5"/>
      <c r="T102" s="2"/>
      <c r="U102" s="5"/>
      <c r="V102" s="2"/>
      <c r="W102" s="5"/>
      <c r="X102" s="2"/>
      <c r="Y102" s="5"/>
      <c r="Z102" s="2"/>
      <c r="AA102" s="5"/>
      <c r="AB102" s="2"/>
    </row>
    <row r="103" spans="2:28" ht="4" customHeight="1">
      <c r="B103" s="2"/>
      <c r="D103" s="2"/>
      <c r="F103" s="2"/>
      <c r="H103" s="2"/>
      <c r="J103" s="2"/>
      <c r="L103" s="2"/>
      <c r="N103" s="2"/>
      <c r="P103" s="2"/>
      <c r="Q103" s="5"/>
      <c r="R103" s="2"/>
      <c r="S103" s="5"/>
      <c r="T103" s="2"/>
      <c r="U103" s="5"/>
      <c r="V103" s="2"/>
      <c r="W103" s="5"/>
      <c r="X103" s="2"/>
      <c r="Y103" s="5"/>
      <c r="Z103" s="2"/>
      <c r="AA103" s="5"/>
      <c r="AB103" s="2"/>
    </row>
    <row r="104" spans="2:28" ht="1" customHeight="1">
      <c r="B104" s="1"/>
      <c r="D104" s="1"/>
      <c r="F104" s="1"/>
      <c r="H104" s="1"/>
      <c r="J104" s="1"/>
      <c r="L104" s="1"/>
      <c r="N104" s="1"/>
      <c r="P104" s="1"/>
      <c r="Q104" s="5"/>
      <c r="R104" s="1"/>
      <c r="S104" s="5"/>
      <c r="T104" s="1"/>
      <c r="U104" s="5"/>
      <c r="V104" s="1"/>
      <c r="W104" s="5"/>
      <c r="X104" s="1"/>
      <c r="Y104" s="5"/>
      <c r="Z104" s="1"/>
      <c r="AA104" s="5"/>
      <c r="AB104" s="1"/>
    </row>
    <row r="105" spans="2:28" ht="4" customHeight="1">
      <c r="B105" s="1">
        <f>入力用シート!$C$15</f>
        <v>0</v>
      </c>
      <c r="D105" s="1" t="s">
        <v>131</v>
      </c>
      <c r="F105" s="1" t="s">
        <v>131</v>
      </c>
      <c r="H105" s="1" t="s">
        <v>131</v>
      </c>
      <c r="J105" s="1" t="s">
        <v>131</v>
      </c>
      <c r="L105" s="1" t="s">
        <v>131</v>
      </c>
      <c r="N105" s="1" t="s">
        <v>131</v>
      </c>
      <c r="P105" s="1"/>
      <c r="Q105" s="5"/>
      <c r="R105" s="1"/>
      <c r="S105" s="5"/>
      <c r="T105" s="1"/>
      <c r="U105" s="5"/>
      <c r="V105" s="1"/>
      <c r="W105" s="5"/>
      <c r="X105" s="1"/>
      <c r="Y105" s="5"/>
      <c r="Z105" s="1"/>
      <c r="AA105" s="5"/>
      <c r="AB105" s="1"/>
    </row>
    <row r="106" spans="2:28" ht="4" customHeight="1">
      <c r="B106" s="1" t="str">
        <f>"[" &amp; 入力用シート!$D$15 &amp; ":" &amp; 入力用シート!$E$15 &amp; "-pref.]"</f>
        <v>[:-pref.]</v>
      </c>
      <c r="D106" s="1" t="s">
        <v>17</v>
      </c>
      <c r="F106" s="1" t="s">
        <v>17</v>
      </c>
      <c r="H106" s="1" t="s">
        <v>17</v>
      </c>
      <c r="J106" s="1" t="s">
        <v>17</v>
      </c>
      <c r="L106" s="1" t="s">
        <v>17</v>
      </c>
      <c r="N106" s="1" t="s">
        <v>17</v>
      </c>
      <c r="P106" s="1"/>
      <c r="Q106" s="5"/>
      <c r="R106" s="1"/>
      <c r="S106" s="5"/>
      <c r="T106" s="1"/>
      <c r="U106" s="5"/>
      <c r="V106" s="1"/>
      <c r="W106" s="5"/>
      <c r="X106" s="1"/>
      <c r="Y106" s="5"/>
      <c r="Z106" s="1"/>
      <c r="AA106" s="5"/>
      <c r="AB106" s="1"/>
    </row>
    <row r="107" spans="2:28" ht="4" customHeight="1">
      <c r="B107" s="10" t="str">
        <f>入力用シート!F15 &amp; ", " &amp; 入力用シート!G15 &amp; IF(入力用シート!H15&lt;&gt;"", ", " &amp; 入力用シート!H15 &amp; ".,", "")</f>
        <v xml:space="preserve">, </v>
      </c>
      <c r="D107" s="10" t="s">
        <v>132</v>
      </c>
      <c r="F107" s="10" t="s">
        <v>132</v>
      </c>
      <c r="H107" s="10" t="s">
        <v>132</v>
      </c>
      <c r="J107" s="10" t="s">
        <v>132</v>
      </c>
      <c r="L107" s="10" t="s">
        <v>132</v>
      </c>
      <c r="N107" s="10" t="s">
        <v>132</v>
      </c>
      <c r="P107" s="4"/>
      <c r="Q107" s="5"/>
      <c r="R107" s="4"/>
      <c r="S107" s="5"/>
      <c r="T107" s="4"/>
      <c r="U107" s="5"/>
      <c r="V107" s="4"/>
      <c r="W107" s="5"/>
      <c r="X107" s="4"/>
      <c r="Y107" s="5"/>
      <c r="Z107" s="4"/>
      <c r="AA107" s="5"/>
      <c r="AB107" s="4"/>
    </row>
    <row r="108" spans="2:28" ht="4" customHeight="1">
      <c r="B108" s="2" t="str">
        <f>入力用シート!$I$15 &amp; "-" &amp; 入力用シート!$J$15 &amp; IF(入力用シート!$K$15&lt;&gt;"", ", (alt." &amp; 入力用シート!$K$15 &amp; "m)", "")</f>
        <v>-</v>
      </c>
      <c r="D108" s="2" t="s">
        <v>133</v>
      </c>
      <c r="F108" s="2" t="s">
        <v>133</v>
      </c>
      <c r="H108" s="2" t="s">
        <v>133</v>
      </c>
      <c r="J108" s="2" t="s">
        <v>133</v>
      </c>
      <c r="L108" s="2" t="s">
        <v>133</v>
      </c>
      <c r="N108" s="2" t="s">
        <v>133</v>
      </c>
      <c r="P108" s="2"/>
      <c r="Q108" s="5"/>
      <c r="R108" s="2"/>
      <c r="S108" s="5"/>
      <c r="T108" s="2"/>
      <c r="U108" s="5"/>
      <c r="V108" s="2"/>
      <c r="W108" s="5"/>
      <c r="X108" s="2"/>
      <c r="Y108" s="5"/>
      <c r="Z108" s="2"/>
      <c r="AA108" s="5"/>
      <c r="AB108" s="2"/>
    </row>
    <row r="109" spans="2:28" ht="3" customHeight="1">
      <c r="B109" s="2" t="str">
        <f>入力用シート!$N$15&amp;"."&amp;入力用シート!$M$15&amp;"."&amp;入力用シート!$L$15&amp;" "&amp;入力用シート!$O$15&amp;", "&amp;入力用シート!$P$15</f>
        <v xml:space="preserve">.. , </v>
      </c>
      <c r="D109" s="2" t="s">
        <v>134</v>
      </c>
      <c r="F109" s="2" t="s">
        <v>134</v>
      </c>
      <c r="H109" s="2" t="s">
        <v>134</v>
      </c>
      <c r="J109" s="2" t="s">
        <v>134</v>
      </c>
      <c r="L109" s="2" t="s">
        <v>134</v>
      </c>
      <c r="N109" s="2" t="s">
        <v>134</v>
      </c>
      <c r="P109" s="2"/>
      <c r="Q109" s="5"/>
      <c r="R109" s="2"/>
      <c r="S109" s="5"/>
      <c r="T109" s="2"/>
      <c r="U109" s="5"/>
      <c r="V109" s="2"/>
      <c r="W109" s="5"/>
      <c r="X109" s="2"/>
      <c r="Y109" s="5"/>
      <c r="Z109" s="2"/>
      <c r="AA109" s="5"/>
      <c r="AB109" s="2"/>
    </row>
    <row r="110" spans="2:28" ht="4" customHeight="1">
      <c r="B110" s="2" t="str">
        <f>"N" &amp; TEXT(入力用シート!$R$15, "0.00000") &amp; ", E" &amp; TEXT(入力用シート!$S$15, "0.00000")</f>
        <v>N0.00000, E0.00000</v>
      </c>
      <c r="D110" s="2" t="s">
        <v>135</v>
      </c>
      <c r="F110" s="2" t="s">
        <v>135</v>
      </c>
      <c r="H110" s="2" t="s">
        <v>135</v>
      </c>
      <c r="J110" s="2" t="s">
        <v>135</v>
      </c>
      <c r="L110" s="2" t="s">
        <v>135</v>
      </c>
      <c r="N110" s="2" t="s">
        <v>135</v>
      </c>
      <c r="P110" s="2"/>
      <c r="Q110" s="5"/>
      <c r="R110" s="2"/>
      <c r="S110" s="5"/>
      <c r="T110" s="2"/>
      <c r="U110" s="5"/>
      <c r="V110" s="2"/>
      <c r="W110" s="5"/>
      <c r="X110" s="2"/>
      <c r="Y110" s="5"/>
      <c r="Z110" s="2"/>
      <c r="AA110" s="5"/>
      <c r="AB110" s="2"/>
    </row>
    <row r="111" spans="2:28" ht="4" customHeight="1">
      <c r="B111" s="2"/>
      <c r="D111" s="2"/>
      <c r="F111" s="2"/>
      <c r="H111" s="2"/>
      <c r="J111" s="2"/>
      <c r="L111" s="2"/>
      <c r="N111" s="2"/>
      <c r="P111" s="2"/>
      <c r="Q111" s="5"/>
      <c r="R111" s="2"/>
      <c r="S111" s="5"/>
      <c r="T111" s="2"/>
      <c r="U111" s="5"/>
      <c r="V111" s="2"/>
      <c r="W111" s="5"/>
      <c r="X111" s="2"/>
      <c r="Y111" s="5"/>
      <c r="Z111" s="2"/>
      <c r="AA111" s="5"/>
      <c r="AB111" s="2"/>
    </row>
    <row r="112" spans="2:28" ht="1" customHeight="1">
      <c r="B112" s="1"/>
      <c r="D112" s="1"/>
      <c r="F112" s="1"/>
      <c r="H112" s="1"/>
      <c r="J112" s="1"/>
      <c r="L112" s="1"/>
      <c r="N112" s="1"/>
      <c r="P112" s="1"/>
      <c r="Q112" s="5"/>
      <c r="R112" s="1"/>
      <c r="S112" s="5"/>
      <c r="T112" s="1"/>
      <c r="U112" s="5"/>
      <c r="V112" s="1"/>
      <c r="W112" s="5"/>
      <c r="X112" s="1"/>
      <c r="Y112" s="5"/>
      <c r="Z112" s="1"/>
      <c r="AA112" s="5"/>
      <c r="AB112" s="1"/>
    </row>
    <row r="113" spans="2:28" ht="4" customHeight="1">
      <c r="B113" s="1">
        <f>入力用シート!$C$16</f>
        <v>0</v>
      </c>
      <c r="D113" s="1" t="s">
        <v>131</v>
      </c>
      <c r="F113" s="1" t="s">
        <v>131</v>
      </c>
      <c r="H113" s="1" t="s">
        <v>131</v>
      </c>
      <c r="J113" s="1" t="s">
        <v>131</v>
      </c>
      <c r="L113" s="1" t="s">
        <v>131</v>
      </c>
      <c r="N113" s="1" t="s">
        <v>131</v>
      </c>
      <c r="P113" s="1"/>
      <c r="Q113" s="5"/>
      <c r="R113" s="1"/>
      <c r="S113" s="5"/>
      <c r="T113" s="1"/>
      <c r="U113" s="5"/>
      <c r="V113" s="1"/>
      <c r="W113" s="5"/>
      <c r="X113" s="1"/>
      <c r="Y113" s="5"/>
      <c r="Z113" s="1"/>
      <c r="AA113" s="5"/>
      <c r="AB113" s="1"/>
    </row>
    <row r="114" spans="2:28" ht="4" customHeight="1">
      <c r="B114" s="1" t="str">
        <f>"[" &amp; 入力用シート!$D$16 &amp; ":" &amp; 入力用シート!$E$16 &amp; "-pref.]"</f>
        <v>[:-pref.]</v>
      </c>
      <c r="D114" s="1" t="s">
        <v>17</v>
      </c>
      <c r="F114" s="1" t="s">
        <v>17</v>
      </c>
      <c r="H114" s="1" t="s">
        <v>17</v>
      </c>
      <c r="J114" s="1" t="s">
        <v>17</v>
      </c>
      <c r="L114" s="1" t="s">
        <v>17</v>
      </c>
      <c r="N114" s="1" t="s">
        <v>17</v>
      </c>
      <c r="P114" s="1"/>
      <c r="Q114" s="5"/>
      <c r="R114" s="1"/>
      <c r="S114" s="5"/>
      <c r="T114" s="1"/>
      <c r="U114" s="5"/>
      <c r="V114" s="1"/>
      <c r="W114" s="5"/>
      <c r="X114" s="1"/>
      <c r="Y114" s="5"/>
      <c r="Z114" s="1"/>
      <c r="AA114" s="5"/>
      <c r="AB114" s="1"/>
    </row>
    <row r="115" spans="2:28" ht="4" customHeight="1">
      <c r="B115" s="9" t="str">
        <f>入力用シート!F16 &amp; ", " &amp; 入力用シート!G16 &amp; IF(入力用シート!H16&lt;&gt;"", ", " &amp; 入力用シート!H16 &amp; ".,", "")</f>
        <v xml:space="preserve">, </v>
      </c>
      <c r="D115" s="9" t="s">
        <v>132</v>
      </c>
      <c r="F115" s="9" t="s">
        <v>132</v>
      </c>
      <c r="H115" s="9" t="s">
        <v>132</v>
      </c>
      <c r="J115" s="9" t="s">
        <v>132</v>
      </c>
      <c r="L115" s="9" t="s">
        <v>132</v>
      </c>
      <c r="N115" s="9" t="s">
        <v>132</v>
      </c>
      <c r="P115" s="4"/>
      <c r="Q115" s="5"/>
      <c r="R115" s="4"/>
      <c r="S115" s="5"/>
      <c r="T115" s="4"/>
      <c r="U115" s="5"/>
      <c r="V115" s="4"/>
      <c r="W115" s="5"/>
      <c r="X115" s="4"/>
      <c r="Y115" s="5"/>
      <c r="Z115" s="4"/>
      <c r="AA115" s="5"/>
      <c r="AB115" s="4"/>
    </row>
    <row r="116" spans="2:28" ht="4" customHeight="1">
      <c r="B116" s="2" t="str">
        <f>入力用シート!$I$16 &amp; "-" &amp; 入力用シート!$J$16 &amp; IF(入力用シート!$K$16&lt;&gt;"", ", (alt." &amp; 入力用シート!$K$16 &amp; "m)", "")</f>
        <v>-</v>
      </c>
      <c r="D116" s="2" t="s">
        <v>133</v>
      </c>
      <c r="F116" s="2" t="s">
        <v>133</v>
      </c>
      <c r="H116" s="2" t="s">
        <v>133</v>
      </c>
      <c r="J116" s="2" t="s">
        <v>133</v>
      </c>
      <c r="L116" s="2" t="s">
        <v>133</v>
      </c>
      <c r="N116" s="2" t="s">
        <v>133</v>
      </c>
      <c r="P116" s="2"/>
      <c r="Q116" s="5"/>
      <c r="R116" s="2"/>
      <c r="S116" s="5"/>
      <c r="T116" s="2"/>
      <c r="U116" s="5"/>
      <c r="V116" s="2"/>
      <c r="W116" s="5"/>
      <c r="X116" s="2"/>
      <c r="Y116" s="5"/>
      <c r="Z116" s="2"/>
      <c r="AA116" s="5"/>
      <c r="AB116" s="2"/>
    </row>
    <row r="117" spans="2:28" ht="3" customHeight="1">
      <c r="B117" s="2" t="str">
        <f>入力用シート!$N$16&amp;"."&amp;入力用シート!$M$16&amp;"."&amp;入力用シート!$L$16&amp;" "&amp;入力用シート!$O$16&amp;", "&amp;入力用シート!$P$16</f>
        <v xml:space="preserve">.. , </v>
      </c>
      <c r="D117" s="2" t="s">
        <v>134</v>
      </c>
      <c r="F117" s="2" t="s">
        <v>134</v>
      </c>
      <c r="H117" s="2" t="s">
        <v>134</v>
      </c>
      <c r="J117" s="2" t="s">
        <v>134</v>
      </c>
      <c r="L117" s="2" t="s">
        <v>134</v>
      </c>
      <c r="N117" s="2" t="s">
        <v>134</v>
      </c>
      <c r="P117" s="2"/>
      <c r="Q117" s="5"/>
      <c r="R117" s="2"/>
      <c r="S117" s="5"/>
      <c r="T117" s="2"/>
      <c r="U117" s="5"/>
      <c r="V117" s="2"/>
      <c r="W117" s="5"/>
      <c r="X117" s="2"/>
      <c r="Y117" s="5"/>
      <c r="Z117" s="2"/>
      <c r="AA117" s="5"/>
      <c r="AB117" s="2"/>
    </row>
    <row r="118" spans="2:28" ht="4" customHeight="1">
      <c r="B118" s="2" t="str">
        <f>"N" &amp; TEXT(入力用シート!$R$16, "0.00000") &amp; ", E" &amp; TEXT(入力用シート!$S$16, "0.00000")</f>
        <v>N0.00000, E0.00000</v>
      </c>
      <c r="D118" s="2" t="s">
        <v>135</v>
      </c>
      <c r="F118" s="2" t="s">
        <v>135</v>
      </c>
      <c r="H118" s="2" t="s">
        <v>135</v>
      </c>
      <c r="J118" s="2" t="s">
        <v>135</v>
      </c>
      <c r="L118" s="2" t="s">
        <v>135</v>
      </c>
      <c r="N118" s="2" t="s">
        <v>135</v>
      </c>
      <c r="P118" s="2"/>
      <c r="Q118" s="5"/>
      <c r="R118" s="2"/>
      <c r="S118" s="5"/>
      <c r="T118" s="2"/>
      <c r="U118" s="5"/>
      <c r="V118" s="2"/>
      <c r="W118" s="5"/>
      <c r="X118" s="2"/>
      <c r="Y118" s="5"/>
      <c r="Z118" s="2"/>
      <c r="AA118" s="5"/>
      <c r="AB118" s="2"/>
    </row>
    <row r="119" spans="2:28" ht="4" customHeight="1">
      <c r="B119" s="2"/>
      <c r="D119" s="2"/>
      <c r="F119" s="2"/>
      <c r="H119" s="2"/>
      <c r="J119" s="2"/>
      <c r="L119" s="2"/>
      <c r="N119" s="2"/>
      <c r="P119" s="2"/>
      <c r="Q119" s="5"/>
      <c r="R119" s="2"/>
      <c r="S119" s="5"/>
      <c r="T119" s="2"/>
      <c r="U119" s="5"/>
      <c r="V119" s="2"/>
      <c r="W119" s="5"/>
      <c r="X119" s="2"/>
      <c r="Y119" s="5"/>
      <c r="Z119" s="2"/>
      <c r="AA119" s="5"/>
      <c r="AB119" s="2"/>
    </row>
    <row r="120" spans="2:28" ht="1" customHeight="1">
      <c r="B120" s="1"/>
      <c r="D120" s="1"/>
      <c r="F120" s="1"/>
      <c r="H120" s="1"/>
      <c r="J120" s="1"/>
      <c r="L120" s="1"/>
      <c r="N120" s="1"/>
      <c r="P120" s="1"/>
      <c r="Q120" s="5"/>
      <c r="R120" s="1"/>
      <c r="S120" s="5"/>
      <c r="T120" s="1"/>
      <c r="U120" s="5"/>
      <c r="V120" s="1"/>
      <c r="W120" s="5"/>
      <c r="X120" s="1"/>
      <c r="Y120" s="5"/>
      <c r="Z120" s="1"/>
      <c r="AA120" s="5"/>
      <c r="AB120" s="1"/>
    </row>
    <row r="121" spans="2:28" ht="4" customHeight="1">
      <c r="B121" s="1">
        <f>入力用シート!$C$17</f>
        <v>0</v>
      </c>
      <c r="D121" s="1" t="s">
        <v>26</v>
      </c>
      <c r="F121" s="1" t="s">
        <v>26</v>
      </c>
      <c r="H121" s="1" t="s">
        <v>26</v>
      </c>
      <c r="J121" s="1" t="s">
        <v>26</v>
      </c>
      <c r="L121" s="1" t="s">
        <v>26</v>
      </c>
      <c r="N121" s="1" t="s">
        <v>26</v>
      </c>
      <c r="P121" s="1"/>
      <c r="Q121" s="5"/>
      <c r="R121" s="1"/>
      <c r="S121" s="5"/>
      <c r="T121" s="1"/>
      <c r="U121" s="5"/>
      <c r="V121" s="1"/>
      <c r="W121" s="5"/>
      <c r="X121" s="1"/>
      <c r="Y121" s="5"/>
      <c r="Z121" s="1"/>
      <c r="AA121" s="5"/>
      <c r="AB121" s="1"/>
    </row>
    <row r="122" spans="2:28" ht="4" customHeight="1">
      <c r="B122" s="1" t="str">
        <f>"[" &amp; 入力用シート!$D$17 &amp; ":" &amp; 入力用シート!$E$17 &amp; "-pref.]"</f>
        <v>[:-pref.]</v>
      </c>
      <c r="D122" s="1" t="s">
        <v>17</v>
      </c>
      <c r="F122" s="1" t="s">
        <v>17</v>
      </c>
      <c r="H122" s="1" t="s">
        <v>17</v>
      </c>
      <c r="J122" s="1" t="s">
        <v>17</v>
      </c>
      <c r="L122" s="1" t="s">
        <v>17</v>
      </c>
      <c r="N122" s="1" t="s">
        <v>17</v>
      </c>
      <c r="P122" s="1"/>
      <c r="Q122" s="5"/>
      <c r="R122" s="1"/>
      <c r="S122" s="5"/>
      <c r="T122" s="1"/>
      <c r="U122" s="5"/>
      <c r="V122" s="1"/>
      <c r="W122" s="5"/>
      <c r="X122" s="1"/>
      <c r="Y122" s="5"/>
      <c r="Z122" s="1"/>
      <c r="AA122" s="5"/>
      <c r="AB122" s="1"/>
    </row>
    <row r="123" spans="2:28" ht="4" customHeight="1">
      <c r="B123" s="10" t="str">
        <f>入力用シート!F17 &amp; ", " &amp; 入力用シート!G17 &amp; IF(入力用シート!H17&lt;&gt;"", ", " &amp; 入力用シート!H17 &amp; ".,", "")</f>
        <v xml:space="preserve">, </v>
      </c>
      <c r="D123" s="10" t="s">
        <v>136</v>
      </c>
      <c r="F123" s="10" t="s">
        <v>136</v>
      </c>
      <c r="H123" s="10" t="s">
        <v>136</v>
      </c>
      <c r="J123" s="10" t="s">
        <v>136</v>
      </c>
      <c r="L123" s="10" t="s">
        <v>136</v>
      </c>
      <c r="N123" s="10" t="s">
        <v>136</v>
      </c>
      <c r="P123" s="4"/>
      <c r="Q123" s="5"/>
      <c r="R123" s="4"/>
      <c r="S123" s="5"/>
      <c r="T123" s="4"/>
      <c r="U123" s="5"/>
      <c r="V123" s="4"/>
      <c r="W123" s="5"/>
      <c r="X123" s="4"/>
      <c r="Y123" s="5"/>
      <c r="Z123" s="4"/>
      <c r="AA123" s="5"/>
      <c r="AB123" s="4"/>
    </row>
    <row r="124" spans="2:28" ht="4" customHeight="1">
      <c r="B124" s="2" t="str">
        <f>入力用シート!$I$17 &amp; "-" &amp; 入力用シート!$J$17 &amp; IF(入力用シート!$K$17&lt;&gt;"", ", (alt." &amp; 入力用シート!$K$17 &amp; "m)", "")</f>
        <v>-</v>
      </c>
      <c r="D124" s="2" t="s">
        <v>137</v>
      </c>
      <c r="F124" s="2" t="s">
        <v>137</v>
      </c>
      <c r="H124" s="2" t="s">
        <v>137</v>
      </c>
      <c r="J124" s="2" t="s">
        <v>137</v>
      </c>
      <c r="L124" s="2" t="s">
        <v>137</v>
      </c>
      <c r="N124" s="2" t="s">
        <v>137</v>
      </c>
      <c r="P124" s="2"/>
      <c r="Q124" s="5"/>
      <c r="R124" s="2"/>
      <c r="S124" s="5"/>
      <c r="T124" s="2"/>
      <c r="U124" s="5"/>
      <c r="V124" s="2"/>
      <c r="W124" s="5"/>
      <c r="X124" s="2"/>
      <c r="Y124" s="5"/>
      <c r="Z124" s="2"/>
      <c r="AA124" s="5"/>
      <c r="AB124" s="2"/>
    </row>
    <row r="125" spans="2:28" ht="3" customHeight="1">
      <c r="B125" s="2" t="str">
        <f>入力用シート!$N$17&amp;"."&amp;入力用シート!$M$17&amp;"."&amp;入力用シート!$L$17&amp;" "&amp;入力用シート!$O$17&amp;", "&amp;入力用シート!$P$17</f>
        <v xml:space="preserve">.. , </v>
      </c>
      <c r="D125" s="2" t="s">
        <v>138</v>
      </c>
      <c r="F125" s="2" t="s">
        <v>138</v>
      </c>
      <c r="H125" s="2" t="s">
        <v>138</v>
      </c>
      <c r="J125" s="2" t="s">
        <v>138</v>
      </c>
      <c r="L125" s="2" t="s">
        <v>138</v>
      </c>
      <c r="N125" s="2" t="s">
        <v>138</v>
      </c>
      <c r="P125" s="2"/>
      <c r="Q125" s="5"/>
      <c r="R125" s="2"/>
      <c r="S125" s="5"/>
      <c r="T125" s="2"/>
      <c r="U125" s="5"/>
      <c r="V125" s="2"/>
      <c r="W125" s="5"/>
      <c r="X125" s="2"/>
      <c r="Y125" s="5"/>
      <c r="Z125" s="2"/>
      <c r="AA125" s="5"/>
      <c r="AB125" s="2"/>
    </row>
    <row r="126" spans="2:28" ht="4" customHeight="1">
      <c r="B126" s="2" t="str">
        <f>"N" &amp; TEXT(入力用シート!$R$17, "0.00000") &amp; ", E" &amp; TEXT(入力用シート!$S$17, "0.00000")</f>
        <v>N0.00000, E0.00000</v>
      </c>
      <c r="D126" s="2" t="s">
        <v>139</v>
      </c>
      <c r="F126" s="2" t="s">
        <v>139</v>
      </c>
      <c r="H126" s="2" t="s">
        <v>139</v>
      </c>
      <c r="J126" s="2" t="s">
        <v>139</v>
      </c>
      <c r="L126" s="2" t="s">
        <v>139</v>
      </c>
      <c r="N126" s="2" t="s">
        <v>139</v>
      </c>
      <c r="P126" s="2"/>
      <c r="Q126" s="5"/>
      <c r="R126" s="2"/>
      <c r="S126" s="5"/>
      <c r="T126" s="2"/>
      <c r="U126" s="5"/>
      <c r="V126" s="2"/>
      <c r="W126" s="5"/>
      <c r="X126" s="2"/>
      <c r="Y126" s="5"/>
      <c r="Z126" s="2"/>
      <c r="AA126" s="5"/>
      <c r="AB126" s="2"/>
    </row>
    <row r="127" spans="2:28" ht="4" customHeight="1">
      <c r="B127" s="2"/>
      <c r="D127" s="2"/>
      <c r="F127" s="2"/>
      <c r="H127" s="2"/>
      <c r="J127" s="2"/>
      <c r="L127" s="2"/>
      <c r="N127" s="2"/>
      <c r="P127" s="2"/>
      <c r="Q127" s="5"/>
      <c r="R127" s="2"/>
      <c r="S127" s="5"/>
      <c r="T127" s="2"/>
      <c r="U127" s="5"/>
      <c r="V127" s="2"/>
      <c r="W127" s="5"/>
      <c r="X127" s="2"/>
      <c r="Y127" s="5"/>
      <c r="Z127" s="2"/>
      <c r="AA127" s="5"/>
      <c r="AB127" s="2"/>
    </row>
    <row r="128" spans="2:28" ht="1" customHeight="1">
      <c r="B128" s="1"/>
      <c r="D128" s="1"/>
      <c r="F128" s="1"/>
      <c r="H128" s="1"/>
      <c r="J128" s="1"/>
      <c r="L128" s="1"/>
      <c r="N128" s="1"/>
      <c r="P128" s="1"/>
      <c r="Q128" s="5"/>
      <c r="R128" s="1"/>
      <c r="S128" s="5"/>
      <c r="T128" s="1"/>
      <c r="U128" s="5"/>
      <c r="V128" s="1"/>
      <c r="W128" s="5"/>
      <c r="X128" s="1"/>
      <c r="Y128" s="5"/>
      <c r="Z128" s="1"/>
      <c r="AA128" s="5"/>
      <c r="AB128" s="1"/>
    </row>
    <row r="129" spans="2:28" ht="4" customHeight="1">
      <c r="B129" s="1">
        <f>入力用シート!$C$18</f>
        <v>0</v>
      </c>
      <c r="D129" s="1" t="s">
        <v>131</v>
      </c>
      <c r="F129" s="1" t="s">
        <v>131</v>
      </c>
      <c r="H129" s="1" t="s">
        <v>131</v>
      </c>
      <c r="J129" s="1" t="s">
        <v>131</v>
      </c>
      <c r="L129" s="1" t="s">
        <v>131</v>
      </c>
      <c r="N129" s="1" t="s">
        <v>131</v>
      </c>
      <c r="P129" s="1"/>
      <c r="Q129" s="5"/>
      <c r="R129" s="1"/>
      <c r="S129" s="5"/>
      <c r="T129" s="1"/>
      <c r="U129" s="5"/>
      <c r="V129" s="1"/>
      <c r="W129" s="5"/>
      <c r="X129" s="1"/>
      <c r="Y129" s="5"/>
      <c r="Z129" s="1"/>
      <c r="AA129" s="5"/>
      <c r="AB129" s="1"/>
    </row>
    <row r="130" spans="2:28" ht="4" customHeight="1">
      <c r="B130" s="1" t="str">
        <f>"[" &amp; 入力用シート!$D$18 &amp; ":" &amp; 入力用シート!$E$18 &amp; "-pref.]"</f>
        <v>[:-pref.]</v>
      </c>
      <c r="D130" s="1" t="s">
        <v>17</v>
      </c>
      <c r="F130" s="1" t="s">
        <v>17</v>
      </c>
      <c r="H130" s="1" t="s">
        <v>17</v>
      </c>
      <c r="J130" s="1" t="s">
        <v>17</v>
      </c>
      <c r="L130" s="1" t="s">
        <v>17</v>
      </c>
      <c r="N130" s="1" t="s">
        <v>17</v>
      </c>
      <c r="P130" s="1"/>
      <c r="Q130" s="5"/>
      <c r="R130" s="1"/>
      <c r="S130" s="5"/>
      <c r="T130" s="1"/>
      <c r="U130" s="5"/>
      <c r="V130" s="1"/>
      <c r="W130" s="5"/>
      <c r="X130" s="1"/>
      <c r="Y130" s="5"/>
      <c r="Z130" s="1"/>
      <c r="AA130" s="5"/>
      <c r="AB130" s="1"/>
    </row>
    <row r="131" spans="2:28" ht="4" customHeight="1">
      <c r="B131" s="2" t="str">
        <f>入力用シート!F18 &amp; ", " &amp; 入力用シート!G18 &amp; IF(入力用シート!H18&lt;&gt;"", ", " &amp; 入力用シート!H18 &amp; ".,", "")</f>
        <v xml:space="preserve">, </v>
      </c>
      <c r="D131" s="2" t="s">
        <v>132</v>
      </c>
      <c r="F131" s="2" t="s">
        <v>132</v>
      </c>
      <c r="H131" s="2" t="s">
        <v>132</v>
      </c>
      <c r="J131" s="2" t="s">
        <v>132</v>
      </c>
      <c r="L131" s="2" t="s">
        <v>132</v>
      </c>
      <c r="N131" s="2" t="s">
        <v>132</v>
      </c>
      <c r="P131" s="4"/>
      <c r="Q131" s="5"/>
      <c r="R131" s="4"/>
      <c r="S131" s="5"/>
      <c r="T131" s="4"/>
      <c r="U131" s="5"/>
      <c r="V131" s="4"/>
      <c r="W131" s="5"/>
      <c r="X131" s="4"/>
      <c r="Y131" s="5"/>
      <c r="Z131" s="4"/>
      <c r="AA131" s="5"/>
      <c r="AB131" s="4"/>
    </row>
    <row r="132" spans="2:28" ht="4" customHeight="1">
      <c r="B132" s="2" t="str">
        <f>入力用シート!$I$18 &amp; "-" &amp; 入力用シート!$J$18 &amp; IF(入力用シート!$K$18&lt;&gt;"", ", (alt." &amp; 入力用シート!$K$18 &amp; "m)", "")</f>
        <v>-</v>
      </c>
      <c r="D132" s="2" t="s">
        <v>140</v>
      </c>
      <c r="F132" s="2" t="s">
        <v>140</v>
      </c>
      <c r="H132" s="2" t="s">
        <v>140</v>
      </c>
      <c r="J132" s="2" t="s">
        <v>140</v>
      </c>
      <c r="L132" s="2" t="s">
        <v>140</v>
      </c>
      <c r="N132" s="2" t="s">
        <v>140</v>
      </c>
      <c r="P132" s="2"/>
      <c r="Q132" s="5"/>
      <c r="R132" s="2"/>
      <c r="S132" s="5"/>
      <c r="T132" s="2"/>
      <c r="U132" s="5"/>
      <c r="V132" s="2"/>
      <c r="W132" s="5"/>
      <c r="X132" s="2"/>
      <c r="Y132" s="5"/>
      <c r="Z132" s="2"/>
      <c r="AA132" s="5"/>
      <c r="AB132" s="2"/>
    </row>
    <row r="133" spans="2:28" ht="3" customHeight="1">
      <c r="B133" s="2" t="str">
        <f>入力用シート!$N$18&amp;"."&amp;入力用シート!$M$18&amp;"."&amp;入力用シート!$L$18&amp;" "&amp;入力用シート!$O$18&amp;", "&amp;入力用シート!$P$18</f>
        <v xml:space="preserve">.. , </v>
      </c>
      <c r="D133" s="2" t="s">
        <v>138</v>
      </c>
      <c r="F133" s="2" t="s">
        <v>138</v>
      </c>
      <c r="H133" s="2" t="s">
        <v>138</v>
      </c>
      <c r="J133" s="2" t="s">
        <v>138</v>
      </c>
      <c r="L133" s="2" t="s">
        <v>138</v>
      </c>
      <c r="N133" s="2" t="s">
        <v>138</v>
      </c>
      <c r="P133" s="2"/>
      <c r="Q133" s="5"/>
      <c r="R133" s="2"/>
      <c r="S133" s="5"/>
      <c r="T133" s="2"/>
      <c r="U133" s="5"/>
      <c r="V133" s="2"/>
      <c r="W133" s="5"/>
      <c r="X133" s="2"/>
      <c r="Y133" s="5"/>
      <c r="Z133" s="2"/>
      <c r="AA133" s="5"/>
      <c r="AB133" s="2"/>
    </row>
    <row r="134" spans="2:28" ht="4" customHeight="1">
      <c r="B134" s="2" t="str">
        <f>"N" &amp; TEXT(入力用シート!$R$18, "0.00000") &amp; ", E" &amp; TEXT(入力用シート!$S$18, "0.00000")</f>
        <v>N0.00000, E0.00000</v>
      </c>
      <c r="D134" s="2" t="s">
        <v>141</v>
      </c>
      <c r="F134" s="2" t="s">
        <v>141</v>
      </c>
      <c r="H134" s="2" t="s">
        <v>141</v>
      </c>
      <c r="J134" s="2" t="s">
        <v>141</v>
      </c>
      <c r="L134" s="2" t="s">
        <v>141</v>
      </c>
      <c r="N134" s="2" t="s">
        <v>141</v>
      </c>
      <c r="P134" s="2"/>
      <c r="Q134" s="5"/>
      <c r="R134" s="2"/>
      <c r="S134" s="5"/>
      <c r="T134" s="2"/>
      <c r="U134" s="5"/>
      <c r="V134" s="2"/>
      <c r="W134" s="5"/>
      <c r="X134" s="2"/>
      <c r="Y134" s="5"/>
      <c r="Z134" s="2"/>
      <c r="AA134" s="5"/>
      <c r="AB134" s="2"/>
    </row>
    <row r="135" spans="2:28" ht="4" customHeight="1">
      <c r="B135" s="2"/>
      <c r="D135" s="2"/>
      <c r="F135" s="2"/>
      <c r="H135" s="2"/>
      <c r="J135" s="2"/>
      <c r="L135" s="2"/>
      <c r="N135" s="2"/>
      <c r="P135" s="2"/>
      <c r="Q135" s="5"/>
      <c r="R135" s="2"/>
      <c r="S135" s="5"/>
      <c r="T135" s="2"/>
      <c r="U135" s="5"/>
      <c r="V135" s="2"/>
      <c r="W135" s="5"/>
      <c r="X135" s="2"/>
      <c r="Y135" s="5"/>
      <c r="Z135" s="2"/>
      <c r="AA135" s="5"/>
      <c r="AB135" s="2"/>
    </row>
    <row r="136" spans="2:28" ht="1" customHeight="1">
      <c r="B136" s="1"/>
      <c r="D136" s="1"/>
      <c r="F136" s="1"/>
      <c r="H136" s="1"/>
      <c r="J136" s="1"/>
      <c r="L136" s="1"/>
      <c r="N136" s="1"/>
      <c r="P136" s="1"/>
      <c r="Q136" s="5"/>
      <c r="R136" s="1"/>
      <c r="S136" s="5"/>
      <c r="T136" s="1"/>
      <c r="U136" s="5"/>
      <c r="V136" s="1"/>
      <c r="W136" s="5"/>
      <c r="X136" s="1"/>
      <c r="Y136" s="5"/>
      <c r="Z136" s="1"/>
      <c r="AA136" s="5"/>
      <c r="AB136" s="1"/>
    </row>
    <row r="137" spans="2:28" ht="4" customHeight="1">
      <c r="B137" s="1">
        <f>入力用シート!$C$19</f>
        <v>0</v>
      </c>
      <c r="D137" s="1" t="s">
        <v>142</v>
      </c>
      <c r="F137" s="1" t="s">
        <v>142</v>
      </c>
      <c r="H137" s="1" t="s">
        <v>142</v>
      </c>
      <c r="J137" s="1" t="s">
        <v>142</v>
      </c>
      <c r="L137" s="1" t="s">
        <v>142</v>
      </c>
      <c r="N137" s="1" t="s">
        <v>142</v>
      </c>
      <c r="P137" s="1"/>
      <c r="Q137" s="5"/>
      <c r="R137" s="1"/>
      <c r="S137" s="5"/>
      <c r="T137" s="1"/>
      <c r="U137" s="5"/>
      <c r="V137" s="1"/>
      <c r="W137" s="5"/>
      <c r="X137" s="1"/>
      <c r="Y137" s="5"/>
      <c r="Z137" s="1"/>
      <c r="AA137" s="5"/>
      <c r="AB137" s="1"/>
    </row>
    <row r="138" spans="2:28" ht="4" customHeight="1">
      <c r="B138" s="1" t="str">
        <f>"[" &amp; 入力用シート!$D$19 &amp; ":" &amp; 入力用シート!$E$19 &amp; "-pref.]"</f>
        <v>[:-pref.]</v>
      </c>
      <c r="D138" s="1" t="s">
        <v>17</v>
      </c>
      <c r="F138" s="1" t="s">
        <v>17</v>
      </c>
      <c r="H138" s="1" t="s">
        <v>17</v>
      </c>
      <c r="J138" s="1" t="s">
        <v>17</v>
      </c>
      <c r="L138" s="1" t="s">
        <v>17</v>
      </c>
      <c r="N138" s="1" t="s">
        <v>17</v>
      </c>
      <c r="P138" s="1"/>
      <c r="Q138" s="5"/>
      <c r="R138" s="1"/>
      <c r="S138" s="5"/>
      <c r="T138" s="1"/>
      <c r="U138" s="5"/>
      <c r="V138" s="1"/>
      <c r="W138" s="5"/>
      <c r="X138" s="1"/>
      <c r="Y138" s="5"/>
      <c r="Z138" s="1"/>
      <c r="AA138" s="5"/>
      <c r="AB138" s="1"/>
    </row>
    <row r="139" spans="2:28" ht="4" customHeight="1">
      <c r="B139" s="9" t="str">
        <f>入力用シート!F19 &amp; ", " &amp; 入力用シート!G19 &amp; IF(入力用シート!H19&lt;&gt;"", ", " &amp; 入力用シート!H19 &amp; ".,", "")</f>
        <v xml:space="preserve">, </v>
      </c>
      <c r="D139" s="9" t="s">
        <v>132</v>
      </c>
      <c r="F139" s="9" t="s">
        <v>132</v>
      </c>
      <c r="H139" s="9" t="s">
        <v>132</v>
      </c>
      <c r="J139" s="9" t="s">
        <v>132</v>
      </c>
      <c r="L139" s="9" t="s">
        <v>132</v>
      </c>
      <c r="N139" s="9" t="s">
        <v>132</v>
      </c>
      <c r="P139" s="4"/>
      <c r="Q139" s="5"/>
      <c r="R139" s="4"/>
      <c r="S139" s="5"/>
      <c r="T139" s="4"/>
      <c r="U139" s="5"/>
      <c r="V139" s="4"/>
      <c r="W139" s="5"/>
      <c r="X139" s="4"/>
      <c r="Y139" s="5"/>
      <c r="Z139" s="4"/>
      <c r="AA139" s="5"/>
      <c r="AB139" s="4"/>
    </row>
    <row r="140" spans="2:28" ht="4" customHeight="1">
      <c r="B140" s="2" t="str">
        <f>入力用シート!$I$19 &amp; "-" &amp; 入力用シート!$J$19 &amp; IF(入力用シート!$K$19&lt;&gt;"", ", (alt." &amp; 入力用シート!$K$19 &amp; "m)", "")</f>
        <v>-</v>
      </c>
      <c r="D140" s="2" t="s">
        <v>143</v>
      </c>
      <c r="F140" s="2" t="s">
        <v>143</v>
      </c>
      <c r="H140" s="2" t="s">
        <v>143</v>
      </c>
      <c r="J140" s="2" t="s">
        <v>143</v>
      </c>
      <c r="L140" s="2" t="s">
        <v>143</v>
      </c>
      <c r="N140" s="2" t="s">
        <v>143</v>
      </c>
      <c r="P140" s="2"/>
      <c r="Q140" s="5"/>
      <c r="R140" s="2"/>
      <c r="S140" s="5"/>
      <c r="T140" s="2"/>
      <c r="U140" s="5"/>
      <c r="V140" s="2"/>
      <c r="W140" s="5"/>
      <c r="X140" s="2"/>
      <c r="Y140" s="5"/>
      <c r="Z140" s="2"/>
      <c r="AA140" s="5"/>
      <c r="AB140" s="2"/>
    </row>
    <row r="141" spans="2:28" ht="3" customHeight="1">
      <c r="B141" s="2" t="str">
        <f>入力用シート!$N$19&amp;"."&amp;入力用シート!$M$19&amp;"."&amp;入力用シート!$L$19&amp;" "&amp;入力用シート!$O$19&amp;", "&amp;入力用シート!$P$19</f>
        <v xml:space="preserve">.. , </v>
      </c>
      <c r="D141" s="2" t="s">
        <v>144</v>
      </c>
      <c r="F141" s="2" t="s">
        <v>144</v>
      </c>
      <c r="H141" s="2" t="s">
        <v>144</v>
      </c>
      <c r="J141" s="2" t="s">
        <v>144</v>
      </c>
      <c r="L141" s="2" t="s">
        <v>144</v>
      </c>
      <c r="N141" s="2" t="s">
        <v>144</v>
      </c>
      <c r="P141" s="2"/>
      <c r="Q141" s="5"/>
      <c r="R141" s="2"/>
      <c r="S141" s="5"/>
      <c r="T141" s="2"/>
      <c r="U141" s="5"/>
      <c r="V141" s="2"/>
      <c r="W141" s="5"/>
      <c r="X141" s="2"/>
      <c r="Y141" s="5"/>
      <c r="Z141" s="2"/>
      <c r="AA141" s="5"/>
      <c r="AB141" s="2"/>
    </row>
    <row r="142" spans="2:28" ht="4" customHeight="1">
      <c r="B142" s="2" t="str">
        <f>"N" &amp; TEXT(入力用シート!$R$19, "0.00000") &amp; ", E" &amp; TEXT(入力用シート!$S$19, "0.00000")</f>
        <v>N0.00000, E0.00000</v>
      </c>
      <c r="D142" s="2" t="s">
        <v>145</v>
      </c>
      <c r="F142" s="2" t="s">
        <v>145</v>
      </c>
      <c r="H142" s="2" t="s">
        <v>145</v>
      </c>
      <c r="J142" s="2" t="s">
        <v>145</v>
      </c>
      <c r="L142" s="2" t="s">
        <v>145</v>
      </c>
      <c r="N142" s="2" t="s">
        <v>145</v>
      </c>
      <c r="P142" s="2"/>
      <c r="Q142" s="5"/>
      <c r="R142" s="2"/>
      <c r="S142" s="5"/>
      <c r="T142" s="2"/>
      <c r="U142" s="5"/>
      <c r="V142" s="2"/>
      <c r="W142" s="5"/>
      <c r="X142" s="2"/>
      <c r="Y142" s="5"/>
      <c r="Z142" s="2"/>
      <c r="AA142" s="5"/>
      <c r="AB142" s="2"/>
    </row>
    <row r="143" spans="2:28" ht="4" customHeight="1">
      <c r="B143" s="2"/>
      <c r="D143" s="2"/>
      <c r="F143" s="2"/>
      <c r="H143" s="2"/>
      <c r="J143" s="2"/>
      <c r="L143" s="2"/>
      <c r="N143" s="2"/>
      <c r="P143" s="2"/>
      <c r="Q143" s="5"/>
      <c r="R143" s="2"/>
      <c r="S143" s="5"/>
      <c r="T143" s="2"/>
      <c r="U143" s="5"/>
      <c r="V143" s="2"/>
      <c r="W143" s="5"/>
      <c r="X143" s="2"/>
      <c r="Y143" s="5"/>
      <c r="Z143" s="2"/>
      <c r="AA143" s="5"/>
      <c r="AB143" s="2"/>
    </row>
    <row r="144" spans="2:28" ht="1" customHeight="1">
      <c r="B144" s="1"/>
      <c r="D144" s="1"/>
      <c r="F144" s="1"/>
      <c r="H144" s="1"/>
      <c r="J144" s="1"/>
      <c r="L144" s="1"/>
      <c r="N144" s="1"/>
      <c r="P144" s="1"/>
      <c r="Q144" s="5"/>
      <c r="R144" s="1"/>
      <c r="S144" s="5"/>
      <c r="T144" s="1"/>
      <c r="U144" s="5"/>
      <c r="V144" s="1"/>
      <c r="W144" s="5"/>
      <c r="X144" s="1"/>
      <c r="Y144" s="5"/>
      <c r="Z144" s="1"/>
      <c r="AA144" s="5"/>
      <c r="AB144" s="1"/>
    </row>
    <row r="145" spans="2:28" ht="4" customHeight="1">
      <c r="B145" s="1">
        <f>入力用シート!$C$20</f>
        <v>0</v>
      </c>
      <c r="D145" s="1" t="s">
        <v>146</v>
      </c>
      <c r="F145" s="1" t="s">
        <v>146</v>
      </c>
      <c r="H145" s="1" t="s">
        <v>146</v>
      </c>
      <c r="J145" s="1" t="s">
        <v>146</v>
      </c>
      <c r="L145" s="1" t="s">
        <v>146</v>
      </c>
      <c r="N145" s="1" t="s">
        <v>146</v>
      </c>
      <c r="P145" s="1"/>
      <c r="Q145" s="5"/>
      <c r="R145" s="1"/>
      <c r="S145" s="5"/>
      <c r="T145" s="1"/>
      <c r="U145" s="5"/>
      <c r="V145" s="1"/>
      <c r="W145" s="5"/>
      <c r="X145" s="1"/>
      <c r="Y145" s="5"/>
      <c r="Z145" s="1"/>
      <c r="AA145" s="5"/>
      <c r="AB145" s="1"/>
    </row>
    <row r="146" spans="2:28" ht="4" customHeight="1">
      <c r="B146" s="1" t="str">
        <f>"[" &amp; 入力用シート!$D$20 &amp; ":" &amp; 入力用シート!$E$20 &amp; "-pref.]"</f>
        <v>[:-pref.]</v>
      </c>
      <c r="D146" s="1" t="s">
        <v>17</v>
      </c>
      <c r="F146" s="1" t="s">
        <v>17</v>
      </c>
      <c r="H146" s="1" t="s">
        <v>17</v>
      </c>
      <c r="J146" s="1" t="s">
        <v>17</v>
      </c>
      <c r="L146" s="1" t="s">
        <v>17</v>
      </c>
      <c r="N146" s="1" t="s">
        <v>17</v>
      </c>
      <c r="P146" s="1"/>
      <c r="Q146" s="5"/>
      <c r="R146" s="1"/>
      <c r="S146" s="5"/>
      <c r="T146" s="1"/>
      <c r="U146" s="5"/>
      <c r="V146" s="1"/>
      <c r="W146" s="5"/>
      <c r="X146" s="1"/>
      <c r="Y146" s="5"/>
      <c r="Z146" s="1"/>
      <c r="AA146" s="5"/>
      <c r="AB146" s="1"/>
    </row>
    <row r="147" spans="2:28" ht="4" customHeight="1">
      <c r="B147" s="9" t="str">
        <f>入力用シート!F20 &amp; ", " &amp; 入力用シート!G20 &amp; IF(入力用シート!H20&lt;&gt;"", ", " &amp; 入力用シート!H20 &amp; ".,", "")</f>
        <v xml:space="preserve">, </v>
      </c>
      <c r="D147" s="9" t="s">
        <v>132</v>
      </c>
      <c r="F147" s="9" t="s">
        <v>132</v>
      </c>
      <c r="H147" s="9" t="s">
        <v>132</v>
      </c>
      <c r="J147" s="9" t="s">
        <v>132</v>
      </c>
      <c r="L147" s="9" t="s">
        <v>132</v>
      </c>
      <c r="N147" s="9" t="s">
        <v>132</v>
      </c>
      <c r="P147" s="4"/>
      <c r="Q147" s="5"/>
      <c r="R147" s="4"/>
      <c r="S147" s="5"/>
      <c r="T147" s="4"/>
      <c r="U147" s="5"/>
      <c r="V147" s="4"/>
      <c r="W147" s="5"/>
      <c r="X147" s="4"/>
      <c r="Y147" s="5"/>
      <c r="Z147" s="4"/>
      <c r="AA147" s="5"/>
      <c r="AB147" s="4"/>
    </row>
    <row r="148" spans="2:28" ht="4" customHeight="1">
      <c r="B148" s="2" t="str">
        <f>入力用シート!$I$20 &amp; "-" &amp; 入力用シート!$J$20 &amp; IF(入力用シート!$K$20&lt;&gt;"", ", (alt." &amp; 入力用シート!$K$20 &amp; "m)", "")</f>
        <v>-</v>
      </c>
      <c r="D148" s="2" t="s">
        <v>147</v>
      </c>
      <c r="F148" s="2" t="s">
        <v>147</v>
      </c>
      <c r="H148" s="2" t="s">
        <v>147</v>
      </c>
      <c r="J148" s="2" t="s">
        <v>147</v>
      </c>
      <c r="L148" s="2" t="s">
        <v>147</v>
      </c>
      <c r="N148" s="2" t="s">
        <v>147</v>
      </c>
      <c r="P148" s="2"/>
      <c r="Q148" s="5"/>
      <c r="R148" s="2"/>
      <c r="S148" s="5"/>
      <c r="T148" s="2"/>
      <c r="U148" s="5"/>
      <c r="V148" s="2"/>
      <c r="W148" s="5"/>
      <c r="X148" s="2"/>
      <c r="Y148" s="5"/>
      <c r="Z148" s="2"/>
      <c r="AA148" s="5"/>
      <c r="AB148" s="2"/>
    </row>
    <row r="149" spans="2:28" ht="3" customHeight="1">
      <c r="B149" s="2" t="str">
        <f>入力用シート!$N$20&amp;"."&amp;入力用シート!$M$20&amp;"."&amp;入力用シート!$L$20&amp;" "&amp;入力用シート!$O$20&amp;", "&amp;入力用シート!$P$20</f>
        <v xml:space="preserve">.. , </v>
      </c>
      <c r="D149" s="2" t="s">
        <v>148</v>
      </c>
      <c r="F149" s="2" t="s">
        <v>148</v>
      </c>
      <c r="H149" s="2" t="s">
        <v>148</v>
      </c>
      <c r="J149" s="2" t="s">
        <v>148</v>
      </c>
      <c r="L149" s="2" t="s">
        <v>148</v>
      </c>
      <c r="N149" s="2" t="s">
        <v>148</v>
      </c>
      <c r="P149" s="2"/>
      <c r="Q149" s="5"/>
      <c r="R149" s="2"/>
      <c r="S149" s="5"/>
      <c r="T149" s="2"/>
      <c r="U149" s="5"/>
      <c r="V149" s="2"/>
      <c r="W149" s="5"/>
      <c r="X149" s="2"/>
      <c r="Y149" s="5"/>
      <c r="Z149" s="2"/>
      <c r="AA149" s="5"/>
      <c r="AB149" s="2"/>
    </row>
    <row r="150" spans="2:28" ht="4" customHeight="1">
      <c r="B150" s="2" t="str">
        <f>"N" &amp; TEXT(入力用シート!$R$20, "0.00000") &amp; ", E" &amp; TEXT(入力用シート!$S$20, "0.00000")</f>
        <v>N0.00000, E0.00000</v>
      </c>
      <c r="D150" s="2" t="s">
        <v>149</v>
      </c>
      <c r="F150" s="2" t="s">
        <v>149</v>
      </c>
      <c r="H150" s="2" t="s">
        <v>149</v>
      </c>
      <c r="J150" s="2" t="s">
        <v>149</v>
      </c>
      <c r="L150" s="2" t="s">
        <v>149</v>
      </c>
      <c r="N150" s="2" t="s">
        <v>149</v>
      </c>
      <c r="P150" s="2"/>
      <c r="Q150" s="5"/>
      <c r="R150" s="2"/>
      <c r="S150" s="5"/>
      <c r="T150" s="2"/>
      <c r="U150" s="5"/>
      <c r="V150" s="2"/>
      <c r="W150" s="5"/>
      <c r="X150" s="2"/>
      <c r="Y150" s="5"/>
      <c r="Z150" s="2"/>
      <c r="AA150" s="5"/>
      <c r="AB150" s="2"/>
    </row>
    <row r="151" spans="2:28" ht="4" customHeight="1">
      <c r="B151" s="2"/>
      <c r="D151" s="2"/>
      <c r="F151" s="2"/>
      <c r="H151" s="2"/>
      <c r="J151" s="2"/>
      <c r="L151" s="2"/>
      <c r="N151" s="2"/>
      <c r="P151" s="2"/>
      <c r="Q151" s="5"/>
      <c r="R151" s="2"/>
      <c r="S151" s="5"/>
      <c r="T151" s="2"/>
      <c r="U151" s="5"/>
      <c r="V151" s="2"/>
      <c r="W151" s="5"/>
      <c r="X151" s="2"/>
      <c r="Y151" s="5"/>
      <c r="Z151" s="2"/>
      <c r="AA151" s="5"/>
      <c r="AB151" s="2"/>
    </row>
    <row r="152" spans="2:28" ht="1" customHeight="1">
      <c r="B152" s="1"/>
      <c r="D152" s="1"/>
      <c r="F152" s="1"/>
      <c r="H152" s="1"/>
      <c r="J152" s="1"/>
      <c r="L152" s="1"/>
      <c r="N152" s="1"/>
      <c r="P152" s="1"/>
      <c r="Q152" s="5"/>
      <c r="R152" s="1"/>
      <c r="S152" s="5"/>
      <c r="T152" s="1"/>
      <c r="U152" s="5"/>
      <c r="V152" s="1"/>
      <c r="W152" s="5"/>
      <c r="X152" s="1"/>
      <c r="Y152" s="5"/>
      <c r="Z152" s="1"/>
      <c r="AA152" s="5"/>
      <c r="AB152" s="1"/>
    </row>
    <row r="153" spans="2:28" ht="4" customHeight="1">
      <c r="B153" s="1">
        <f>入力用シート!$C$21</f>
        <v>0</v>
      </c>
      <c r="D153" s="1" t="s">
        <v>150</v>
      </c>
      <c r="F153" s="1" t="s">
        <v>150</v>
      </c>
      <c r="H153" s="1" t="s">
        <v>150</v>
      </c>
      <c r="J153" s="1" t="s">
        <v>150</v>
      </c>
      <c r="L153" s="1" t="s">
        <v>150</v>
      </c>
      <c r="N153" s="1" t="s">
        <v>150</v>
      </c>
      <c r="P153" s="1"/>
      <c r="Q153" s="5"/>
      <c r="R153" s="1"/>
      <c r="S153" s="5"/>
      <c r="T153" s="1"/>
      <c r="U153" s="5"/>
      <c r="V153" s="1"/>
      <c r="W153" s="5"/>
      <c r="X153" s="1"/>
      <c r="Y153" s="5"/>
      <c r="Z153" s="1"/>
      <c r="AA153" s="5"/>
      <c r="AB153" s="1"/>
    </row>
    <row r="154" spans="2:28" ht="4" customHeight="1">
      <c r="B154" s="1" t="str">
        <f>"[" &amp; 入力用シート!$D$21 &amp; ":" &amp; 入力用シート!$E$21 &amp; "-pref.]"</f>
        <v>[:-pref.]</v>
      </c>
      <c r="D154" s="1" t="s">
        <v>17</v>
      </c>
      <c r="F154" s="1" t="s">
        <v>17</v>
      </c>
      <c r="H154" s="1" t="s">
        <v>17</v>
      </c>
      <c r="J154" s="1" t="s">
        <v>17</v>
      </c>
      <c r="L154" s="1" t="s">
        <v>17</v>
      </c>
      <c r="N154" s="1" t="s">
        <v>17</v>
      </c>
      <c r="P154" s="1"/>
      <c r="Q154" s="5"/>
      <c r="R154" s="1"/>
      <c r="S154" s="5"/>
      <c r="T154" s="1"/>
      <c r="U154" s="5"/>
      <c r="V154" s="1"/>
      <c r="W154" s="5"/>
      <c r="X154" s="1"/>
      <c r="Y154" s="5"/>
      <c r="Z154" s="1"/>
      <c r="AA154" s="5"/>
      <c r="AB154" s="1"/>
    </row>
    <row r="155" spans="2:28" ht="4" customHeight="1">
      <c r="B155" s="9" t="str">
        <f>入力用シート!F21 &amp; ", " &amp; 入力用シート!G21 &amp; IF(入力用シート!H21&lt;&gt;"", ", " &amp; 入力用シート!H21 &amp; ".,", "")</f>
        <v xml:space="preserve">, </v>
      </c>
      <c r="D155" s="9" t="s">
        <v>132</v>
      </c>
      <c r="F155" s="9" t="s">
        <v>132</v>
      </c>
      <c r="H155" s="9" t="s">
        <v>132</v>
      </c>
      <c r="J155" s="9" t="s">
        <v>132</v>
      </c>
      <c r="L155" s="9" t="s">
        <v>132</v>
      </c>
      <c r="N155" s="9" t="s">
        <v>132</v>
      </c>
      <c r="P155" s="4"/>
      <c r="Q155" s="5"/>
      <c r="R155" s="4"/>
      <c r="S155" s="5"/>
      <c r="T155" s="4"/>
      <c r="U155" s="5"/>
      <c r="V155" s="4"/>
      <c r="W155" s="5"/>
      <c r="X155" s="4"/>
      <c r="Y155" s="5"/>
      <c r="Z155" s="4"/>
      <c r="AA155" s="5"/>
      <c r="AB155" s="4"/>
    </row>
    <row r="156" spans="2:28" ht="4" customHeight="1">
      <c r="B156" s="2" t="str">
        <f>入力用シート!$I$21 &amp; "-" &amp; 入力用シート!$J$21 &amp; IF(入力用シート!$K$21&lt;&gt;"", ", (alt." &amp; 入力用シート!$K$21 &amp; "m)", "")</f>
        <v>-</v>
      </c>
      <c r="D156" s="2" t="s">
        <v>151</v>
      </c>
      <c r="F156" s="2" t="s">
        <v>151</v>
      </c>
      <c r="H156" s="2" t="s">
        <v>151</v>
      </c>
      <c r="J156" s="2" t="s">
        <v>151</v>
      </c>
      <c r="L156" s="2" t="s">
        <v>151</v>
      </c>
      <c r="N156" s="2" t="s">
        <v>151</v>
      </c>
      <c r="P156" s="2"/>
      <c r="Q156" s="5"/>
      <c r="R156" s="2"/>
      <c r="S156" s="5"/>
      <c r="T156" s="2"/>
      <c r="U156" s="5"/>
      <c r="V156" s="2"/>
      <c r="W156" s="5"/>
      <c r="X156" s="2"/>
      <c r="Y156" s="5"/>
      <c r="Z156" s="2"/>
      <c r="AA156" s="5"/>
      <c r="AB156" s="2"/>
    </row>
    <row r="157" spans="2:28" ht="3" customHeight="1">
      <c r="B157" s="2" t="str">
        <f>入力用シート!$N$21&amp;"."&amp;入力用シート!$M$21&amp;"."&amp;入力用シート!$L$21&amp;" "&amp;入力用シート!$O$21&amp;", "&amp;入力用シート!$P$21</f>
        <v xml:space="preserve">.. , </v>
      </c>
      <c r="D157" s="2" t="s">
        <v>138</v>
      </c>
      <c r="F157" s="2" t="s">
        <v>138</v>
      </c>
      <c r="H157" s="2" t="s">
        <v>138</v>
      </c>
      <c r="J157" s="2" t="s">
        <v>138</v>
      </c>
      <c r="L157" s="2" t="s">
        <v>138</v>
      </c>
      <c r="N157" s="2" t="s">
        <v>138</v>
      </c>
      <c r="P157" s="2"/>
      <c r="Q157" s="5"/>
      <c r="R157" s="2"/>
      <c r="S157" s="5"/>
      <c r="T157" s="2"/>
      <c r="U157" s="5"/>
      <c r="V157" s="2"/>
      <c r="W157" s="5"/>
      <c r="X157" s="2"/>
      <c r="Y157" s="5"/>
      <c r="Z157" s="2"/>
      <c r="AA157" s="5"/>
      <c r="AB157" s="2"/>
    </row>
    <row r="158" spans="2:28" ht="4" customHeight="1">
      <c r="B158" s="2" t="str">
        <f>"N" &amp; TEXT(入力用シート!$R$21, "0.00000") &amp; ", E" &amp; TEXT(入力用シート!$S$21, "0.00000")</f>
        <v>N0.00000, E0.00000</v>
      </c>
      <c r="D158" s="2" t="s">
        <v>152</v>
      </c>
      <c r="F158" s="2" t="s">
        <v>152</v>
      </c>
      <c r="H158" s="2" t="s">
        <v>152</v>
      </c>
      <c r="J158" s="2" t="s">
        <v>152</v>
      </c>
      <c r="L158" s="2" t="s">
        <v>152</v>
      </c>
      <c r="N158" s="2" t="s">
        <v>152</v>
      </c>
      <c r="P158" s="2"/>
      <c r="Q158" s="5"/>
      <c r="R158" s="2"/>
      <c r="S158" s="5"/>
      <c r="T158" s="2"/>
      <c r="U158" s="5"/>
      <c r="V158" s="2"/>
      <c r="W158" s="5"/>
      <c r="X158" s="2"/>
      <c r="Y158" s="5"/>
      <c r="Z158" s="2"/>
      <c r="AA158" s="5"/>
      <c r="AB158" s="2"/>
    </row>
    <row r="159" spans="2:28" ht="4" customHeight="1">
      <c r="B159" s="2"/>
      <c r="D159" s="2"/>
      <c r="F159" s="2"/>
      <c r="H159" s="2"/>
      <c r="J159" s="2"/>
      <c r="L159" s="2"/>
      <c r="N159" s="2"/>
      <c r="P159" s="2"/>
      <c r="Q159" s="5"/>
      <c r="R159" s="2"/>
      <c r="S159" s="5"/>
      <c r="T159" s="2"/>
      <c r="U159" s="5"/>
      <c r="V159" s="2"/>
      <c r="W159" s="5"/>
      <c r="X159" s="2"/>
      <c r="Y159" s="5"/>
      <c r="Z159" s="2"/>
      <c r="AA159" s="5"/>
      <c r="AB159" s="2"/>
    </row>
    <row r="160" spans="2:28" ht="1" customHeight="1">
      <c r="B160" s="1"/>
      <c r="D160" s="1"/>
      <c r="F160" s="1"/>
      <c r="H160" s="1"/>
      <c r="J160" s="1"/>
      <c r="L160" s="1"/>
      <c r="N160" s="1"/>
      <c r="P160" s="1"/>
      <c r="Q160" s="5"/>
      <c r="R160" s="1"/>
      <c r="S160" s="5"/>
      <c r="T160" s="1"/>
      <c r="U160" s="5"/>
      <c r="V160" s="1"/>
      <c r="W160" s="5"/>
      <c r="X160" s="1"/>
      <c r="Y160" s="5"/>
      <c r="Z160" s="1"/>
      <c r="AA160" s="5"/>
      <c r="AB160" s="1"/>
    </row>
    <row r="161" spans="2:28" ht="4" customHeight="1">
      <c r="B161" s="1">
        <f>入力用シート!$C$22</f>
        <v>0</v>
      </c>
      <c r="D161" s="1" t="s">
        <v>131</v>
      </c>
      <c r="F161" s="1" t="s">
        <v>131</v>
      </c>
      <c r="H161" s="1" t="s">
        <v>131</v>
      </c>
      <c r="J161" s="1" t="s">
        <v>131</v>
      </c>
      <c r="L161" s="1" t="s">
        <v>131</v>
      </c>
      <c r="N161" s="1" t="s">
        <v>131</v>
      </c>
      <c r="P161" s="1"/>
      <c r="Q161" s="5"/>
      <c r="R161" s="1"/>
      <c r="S161" s="5"/>
      <c r="T161" s="1"/>
      <c r="U161" s="5"/>
      <c r="V161" s="1"/>
      <c r="W161" s="5"/>
      <c r="X161" s="1"/>
      <c r="Y161" s="5"/>
      <c r="Z161" s="1"/>
      <c r="AA161" s="5"/>
      <c r="AB161" s="1"/>
    </row>
    <row r="162" spans="2:28" ht="4" customHeight="1">
      <c r="B162" s="1" t="str">
        <f>"[" &amp; 入力用シート!$D$22 &amp; ":" &amp; 入力用シート!$E$22 &amp; "-pref.]"</f>
        <v>[:-pref.]</v>
      </c>
      <c r="D162" s="1" t="s">
        <v>17</v>
      </c>
      <c r="F162" s="1" t="s">
        <v>17</v>
      </c>
      <c r="H162" s="1" t="s">
        <v>17</v>
      </c>
      <c r="J162" s="1" t="s">
        <v>17</v>
      </c>
      <c r="L162" s="1" t="s">
        <v>17</v>
      </c>
      <c r="N162" s="1" t="s">
        <v>17</v>
      </c>
      <c r="P162" s="1"/>
      <c r="Q162" s="5"/>
      <c r="R162" s="1"/>
      <c r="S162" s="5"/>
      <c r="T162" s="1"/>
      <c r="U162" s="5"/>
      <c r="V162" s="1"/>
      <c r="W162" s="5"/>
      <c r="X162" s="1"/>
      <c r="Y162" s="5"/>
      <c r="Z162" s="1"/>
      <c r="AA162" s="5"/>
      <c r="AB162" s="1"/>
    </row>
    <row r="163" spans="2:28" ht="4" customHeight="1">
      <c r="B163" s="9" t="str">
        <f>入力用シート!F22 &amp; ", " &amp; 入力用シート!G22 &amp; IF(入力用シート!H22&lt;&gt;"", ", " &amp; 入力用シート!H22 &amp; ".,", "")</f>
        <v xml:space="preserve">, </v>
      </c>
      <c r="D163" s="9" t="s">
        <v>132</v>
      </c>
      <c r="F163" s="9" t="s">
        <v>132</v>
      </c>
      <c r="H163" s="9" t="s">
        <v>132</v>
      </c>
      <c r="J163" s="9" t="s">
        <v>132</v>
      </c>
      <c r="L163" s="9" t="s">
        <v>132</v>
      </c>
      <c r="N163" s="9" t="s">
        <v>132</v>
      </c>
      <c r="P163" s="4"/>
      <c r="Q163" s="5"/>
      <c r="R163" s="4"/>
      <c r="S163" s="5"/>
      <c r="T163" s="4"/>
      <c r="U163" s="5"/>
      <c r="V163" s="4"/>
      <c r="W163" s="5"/>
      <c r="X163" s="4"/>
      <c r="Y163" s="5"/>
      <c r="Z163" s="4"/>
      <c r="AA163" s="5"/>
      <c r="AB163" s="4"/>
    </row>
    <row r="164" spans="2:28" ht="4" customHeight="1">
      <c r="B164" s="2" t="str">
        <f>入力用シート!$I$22 &amp; "-" &amp; 入力用シート!$J$22 &amp; IF(入力用シート!$K$22&lt;&gt;"", ", (alt." &amp; 入力用シート!$K$22 &amp; "m)", "")</f>
        <v>-</v>
      </c>
      <c r="D164" s="2" t="s">
        <v>153</v>
      </c>
      <c r="F164" s="2" t="s">
        <v>153</v>
      </c>
      <c r="H164" s="2" t="s">
        <v>153</v>
      </c>
      <c r="J164" s="2" t="s">
        <v>153</v>
      </c>
      <c r="L164" s="2" t="s">
        <v>153</v>
      </c>
      <c r="N164" s="2" t="s">
        <v>153</v>
      </c>
      <c r="P164" s="2"/>
      <c r="Q164" s="5"/>
      <c r="R164" s="2"/>
      <c r="S164" s="5"/>
      <c r="T164" s="2"/>
      <c r="U164" s="5"/>
      <c r="V164" s="2"/>
      <c r="W164" s="5"/>
      <c r="X164" s="2"/>
      <c r="Y164" s="5"/>
      <c r="Z164" s="2"/>
      <c r="AA164" s="5"/>
      <c r="AB164" s="2"/>
    </row>
    <row r="165" spans="2:28" ht="3" customHeight="1">
      <c r="B165" s="2" t="str">
        <f>入力用シート!$N$22&amp;"."&amp;入力用シート!$M$22&amp;"."&amp;入力用シート!$L$22&amp;" "&amp;入力用シート!$O$22&amp;", "&amp;入力用シート!$P$22</f>
        <v xml:space="preserve">.. , </v>
      </c>
      <c r="D165" s="2" t="s">
        <v>154</v>
      </c>
      <c r="F165" s="2" t="s">
        <v>154</v>
      </c>
      <c r="H165" s="2" t="s">
        <v>154</v>
      </c>
      <c r="J165" s="2" t="s">
        <v>154</v>
      </c>
      <c r="L165" s="2" t="s">
        <v>154</v>
      </c>
      <c r="N165" s="2" t="s">
        <v>154</v>
      </c>
      <c r="P165" s="2"/>
      <c r="Q165" s="5"/>
      <c r="R165" s="2"/>
      <c r="S165" s="5"/>
      <c r="T165" s="2"/>
      <c r="U165" s="5"/>
      <c r="V165" s="2"/>
      <c r="W165" s="5"/>
      <c r="X165" s="2"/>
      <c r="Y165" s="5"/>
      <c r="Z165" s="2"/>
      <c r="AA165" s="5"/>
      <c r="AB165" s="2"/>
    </row>
    <row r="166" spans="2:28" ht="4" customHeight="1">
      <c r="B166" s="2" t="str">
        <f>"N" &amp; TEXT(入力用シート!$R$22, "0.00000") &amp; ", E" &amp; TEXT(入力用シート!$S$22, "0.00000")</f>
        <v>N0.00000, E0.00000</v>
      </c>
      <c r="D166" s="2" t="s">
        <v>155</v>
      </c>
      <c r="F166" s="2" t="s">
        <v>155</v>
      </c>
      <c r="H166" s="2" t="s">
        <v>155</v>
      </c>
      <c r="J166" s="2" t="s">
        <v>155</v>
      </c>
      <c r="L166" s="2" t="s">
        <v>155</v>
      </c>
      <c r="N166" s="2" t="s">
        <v>155</v>
      </c>
      <c r="P166" s="2"/>
      <c r="Q166" s="5"/>
      <c r="R166" s="2"/>
      <c r="S166" s="5"/>
      <c r="T166" s="2"/>
      <c r="U166" s="5"/>
      <c r="V166" s="2"/>
      <c r="W166" s="5"/>
      <c r="X166" s="2"/>
      <c r="Y166" s="5"/>
      <c r="Z166" s="2"/>
      <c r="AA166" s="5"/>
      <c r="AB166" s="2"/>
    </row>
    <row r="167" spans="2:28" ht="4" customHeight="1">
      <c r="B167" s="2"/>
      <c r="D167" s="2"/>
      <c r="F167" s="2"/>
      <c r="H167" s="2"/>
      <c r="J167" s="2"/>
      <c r="L167" s="2"/>
      <c r="N167" s="2"/>
      <c r="P167" s="2"/>
      <c r="Q167" s="5"/>
      <c r="R167" s="2"/>
      <c r="S167" s="5"/>
      <c r="T167" s="2"/>
      <c r="U167" s="5"/>
      <c r="V167" s="2"/>
      <c r="W167" s="5"/>
      <c r="X167" s="2"/>
      <c r="Y167" s="5"/>
      <c r="Z167" s="2"/>
      <c r="AA167" s="5"/>
      <c r="AB167" s="2"/>
    </row>
    <row r="168" spans="2:28" ht="1" customHeight="1">
      <c r="B168" s="1"/>
      <c r="D168" s="1"/>
      <c r="F168" s="1"/>
      <c r="H168" s="1"/>
      <c r="J168" s="1"/>
      <c r="L168" s="1"/>
      <c r="N168" s="1"/>
      <c r="P168" s="1"/>
      <c r="Q168" s="5"/>
      <c r="R168" s="1"/>
      <c r="S168" s="5"/>
      <c r="T168" s="1"/>
      <c r="U168" s="5"/>
      <c r="V168" s="1"/>
      <c r="W168" s="5"/>
      <c r="X168" s="1"/>
      <c r="Y168" s="5"/>
      <c r="Z168" s="1"/>
      <c r="AA168" s="5"/>
      <c r="AB168" s="1"/>
    </row>
    <row r="169" spans="2:28" ht="4" customHeight="1">
      <c r="B169" s="1">
        <f>入力用シート!$C$23</f>
        <v>0</v>
      </c>
      <c r="D169" s="1" t="s">
        <v>131</v>
      </c>
      <c r="F169" s="1" t="s">
        <v>131</v>
      </c>
      <c r="H169" s="1" t="s">
        <v>131</v>
      </c>
      <c r="J169" s="1" t="s">
        <v>131</v>
      </c>
      <c r="L169" s="1" t="s">
        <v>131</v>
      </c>
      <c r="N169" s="1" t="s">
        <v>131</v>
      </c>
      <c r="P169" s="1"/>
      <c r="Q169" s="5"/>
      <c r="R169" s="1"/>
      <c r="S169" s="5"/>
      <c r="T169" s="1"/>
      <c r="U169" s="5"/>
      <c r="V169" s="1"/>
      <c r="W169" s="5"/>
      <c r="X169" s="1"/>
      <c r="Y169" s="5"/>
      <c r="Z169" s="1"/>
      <c r="AA169" s="5"/>
      <c r="AB169" s="1"/>
    </row>
    <row r="170" spans="2:28" ht="4" customHeight="1">
      <c r="B170" s="1" t="str">
        <f>"[" &amp; 入力用シート!$D$23 &amp; ":" &amp; 入力用シート!$E$23 &amp; "-pref.]"</f>
        <v>[:-pref.]</v>
      </c>
      <c r="D170" s="1" t="s">
        <v>17</v>
      </c>
      <c r="F170" s="1" t="s">
        <v>17</v>
      </c>
      <c r="H170" s="1" t="s">
        <v>17</v>
      </c>
      <c r="J170" s="1" t="s">
        <v>17</v>
      </c>
      <c r="L170" s="1" t="s">
        <v>17</v>
      </c>
      <c r="N170" s="1" t="s">
        <v>17</v>
      </c>
      <c r="P170" s="1"/>
      <c r="Q170" s="5"/>
      <c r="R170" s="1"/>
      <c r="S170" s="5"/>
      <c r="T170" s="1"/>
      <c r="U170" s="5"/>
      <c r="V170" s="1"/>
      <c r="W170" s="5"/>
      <c r="X170" s="1"/>
      <c r="Y170" s="5"/>
      <c r="Z170" s="1"/>
      <c r="AA170" s="5"/>
      <c r="AB170" s="1"/>
    </row>
    <row r="171" spans="2:28" ht="4" customHeight="1">
      <c r="B171" s="9" t="str">
        <f>入力用シート!F23 &amp; ", " &amp; 入力用シート!G23 &amp; IF(入力用シート!H23&lt;&gt;"", ", " &amp; 入力用シート!H23 &amp; ".,", "")</f>
        <v xml:space="preserve">, </v>
      </c>
      <c r="D171" s="9" t="s">
        <v>132</v>
      </c>
      <c r="F171" s="9" t="s">
        <v>132</v>
      </c>
      <c r="H171" s="9" t="s">
        <v>132</v>
      </c>
      <c r="J171" s="9" t="s">
        <v>132</v>
      </c>
      <c r="L171" s="9" t="s">
        <v>132</v>
      </c>
      <c r="N171" s="9" t="s">
        <v>132</v>
      </c>
      <c r="P171" s="4"/>
      <c r="Q171" s="5"/>
      <c r="R171" s="4"/>
      <c r="S171" s="5"/>
      <c r="T171" s="4"/>
      <c r="U171" s="5"/>
      <c r="V171" s="4"/>
      <c r="W171" s="5"/>
      <c r="X171" s="4"/>
      <c r="Y171" s="5"/>
      <c r="Z171" s="4"/>
      <c r="AA171" s="5"/>
      <c r="AB171" s="4"/>
    </row>
    <row r="172" spans="2:28" ht="4" customHeight="1">
      <c r="B172" s="2" t="str">
        <f>入力用シート!$I$23 &amp; "-" &amp; 入力用シート!$J$23 &amp; IF(入力用シート!$K$23&lt;&gt;"", ", (alt." &amp; 入力用シート!$K$23 &amp; "m)", "")</f>
        <v>-</v>
      </c>
      <c r="D172" s="2" t="s">
        <v>133</v>
      </c>
      <c r="F172" s="2" t="s">
        <v>133</v>
      </c>
      <c r="H172" s="2" t="s">
        <v>133</v>
      </c>
      <c r="J172" s="2" t="s">
        <v>133</v>
      </c>
      <c r="L172" s="2" t="s">
        <v>133</v>
      </c>
      <c r="N172" s="2" t="s">
        <v>133</v>
      </c>
      <c r="P172" s="2"/>
      <c r="Q172" s="5"/>
      <c r="R172" s="2"/>
      <c r="S172" s="5"/>
      <c r="T172" s="2"/>
      <c r="U172" s="5"/>
      <c r="V172" s="2"/>
      <c r="W172" s="5"/>
      <c r="X172" s="2"/>
      <c r="Y172" s="5"/>
      <c r="Z172" s="2"/>
      <c r="AA172" s="5"/>
      <c r="AB172" s="2"/>
    </row>
    <row r="173" spans="2:28" ht="3" customHeight="1">
      <c r="B173" s="2" t="str">
        <f>入力用シート!$N$23&amp;"."&amp;入力用シート!$M$23&amp;"."&amp;入力用シート!$L$23&amp;" "&amp;入力用シート!$O$23&amp;", "&amp;入力用シート!$P$23</f>
        <v xml:space="preserve">.. , </v>
      </c>
      <c r="D173" s="2" t="s">
        <v>148</v>
      </c>
      <c r="F173" s="2" t="s">
        <v>148</v>
      </c>
      <c r="H173" s="2" t="s">
        <v>148</v>
      </c>
      <c r="J173" s="2" t="s">
        <v>148</v>
      </c>
      <c r="L173" s="2" t="s">
        <v>148</v>
      </c>
      <c r="N173" s="2" t="s">
        <v>148</v>
      </c>
      <c r="P173" s="2"/>
      <c r="Q173" s="5"/>
      <c r="R173" s="2"/>
      <c r="S173" s="5"/>
      <c r="T173" s="2"/>
      <c r="U173" s="5"/>
      <c r="V173" s="2"/>
      <c r="W173" s="5"/>
      <c r="X173" s="2"/>
      <c r="Y173" s="5"/>
      <c r="Z173" s="2"/>
      <c r="AA173" s="5"/>
      <c r="AB173" s="2"/>
    </row>
    <row r="174" spans="2:28" ht="4" customHeight="1">
      <c r="B174" s="2" t="str">
        <f>"N" &amp; TEXT(入力用シート!$R$23, "0.00000") &amp; ", E" &amp; TEXT(入力用シート!$S$23, "0.00000")</f>
        <v>N0.00000, E0.00000</v>
      </c>
      <c r="D174" s="2" t="s">
        <v>135</v>
      </c>
      <c r="F174" s="2" t="s">
        <v>135</v>
      </c>
      <c r="H174" s="2" t="s">
        <v>135</v>
      </c>
      <c r="J174" s="2" t="s">
        <v>135</v>
      </c>
      <c r="L174" s="2" t="s">
        <v>135</v>
      </c>
      <c r="N174" s="2" t="s">
        <v>135</v>
      </c>
      <c r="P174" s="2"/>
      <c r="Q174" s="5"/>
      <c r="R174" s="2"/>
      <c r="S174" s="5"/>
      <c r="T174" s="2"/>
      <c r="U174" s="5"/>
      <c r="V174" s="2"/>
      <c r="W174" s="5"/>
      <c r="X174" s="2"/>
      <c r="Y174" s="5"/>
      <c r="Z174" s="2"/>
      <c r="AA174" s="5"/>
      <c r="AB174" s="2"/>
    </row>
    <row r="175" spans="2:28" ht="4" customHeight="1">
      <c r="B175" s="2"/>
      <c r="D175" s="2"/>
      <c r="F175" s="2"/>
      <c r="H175" s="2"/>
      <c r="J175" s="2"/>
      <c r="L175" s="2"/>
      <c r="N175" s="2"/>
      <c r="P175" s="2"/>
      <c r="Q175" s="5"/>
      <c r="R175" s="2"/>
      <c r="S175" s="5"/>
      <c r="T175" s="2"/>
      <c r="U175" s="5"/>
      <c r="V175" s="2"/>
      <c r="W175" s="5"/>
      <c r="X175" s="2"/>
      <c r="Y175" s="5"/>
      <c r="Z175" s="2"/>
      <c r="AA175" s="5"/>
      <c r="AB175" s="2"/>
    </row>
    <row r="176" spans="2:28" ht="1" customHeight="1">
      <c r="B176" s="1"/>
      <c r="D176" s="1"/>
      <c r="F176" s="1"/>
      <c r="H176" s="1"/>
      <c r="J176" s="1"/>
      <c r="L176" s="1"/>
      <c r="N176" s="1"/>
      <c r="P176" s="1"/>
      <c r="Q176" s="5"/>
      <c r="R176" s="1"/>
      <c r="S176" s="5"/>
      <c r="T176" s="1"/>
      <c r="U176" s="5"/>
      <c r="V176" s="1"/>
      <c r="W176" s="5"/>
      <c r="X176" s="1"/>
      <c r="Y176" s="5"/>
      <c r="Z176" s="1"/>
      <c r="AA176" s="5"/>
      <c r="AB176" s="1"/>
    </row>
    <row r="177" spans="2:28" ht="4" customHeight="1">
      <c r="B177" s="1">
        <f>入力用シート!$C$24</f>
        <v>0</v>
      </c>
      <c r="D177" s="1" t="s">
        <v>156</v>
      </c>
      <c r="F177" s="1" t="s">
        <v>156</v>
      </c>
      <c r="H177" s="1" t="s">
        <v>156</v>
      </c>
      <c r="J177" s="1" t="s">
        <v>156</v>
      </c>
      <c r="L177" s="1" t="s">
        <v>156</v>
      </c>
      <c r="N177" s="1" t="s">
        <v>156</v>
      </c>
      <c r="P177" s="1"/>
      <c r="Q177" s="5"/>
      <c r="R177" s="1"/>
      <c r="S177" s="5"/>
      <c r="T177" s="1"/>
      <c r="U177" s="5"/>
      <c r="V177" s="1"/>
      <c r="W177" s="5"/>
      <c r="X177" s="1"/>
      <c r="Y177" s="5"/>
      <c r="Z177" s="1"/>
      <c r="AA177" s="5"/>
      <c r="AB177" s="1"/>
    </row>
    <row r="178" spans="2:28" ht="4" customHeight="1">
      <c r="B178" s="1" t="str">
        <f>"[" &amp; 入力用シート!$D$24 &amp; ":" &amp; 入力用シート!$E$24 &amp; "-pref.]"</f>
        <v>[:-pref.]</v>
      </c>
      <c r="D178" s="1" t="s">
        <v>17</v>
      </c>
      <c r="F178" s="1" t="s">
        <v>17</v>
      </c>
      <c r="H178" s="1" t="s">
        <v>17</v>
      </c>
      <c r="J178" s="1" t="s">
        <v>17</v>
      </c>
      <c r="L178" s="1" t="s">
        <v>17</v>
      </c>
      <c r="N178" s="1" t="s">
        <v>17</v>
      </c>
      <c r="P178" s="1"/>
      <c r="Q178" s="5"/>
      <c r="R178" s="1"/>
      <c r="S178" s="5"/>
      <c r="T178" s="1"/>
      <c r="U178" s="5"/>
      <c r="V178" s="1"/>
      <c r="W178" s="5"/>
      <c r="X178" s="1"/>
      <c r="Y178" s="5"/>
      <c r="Z178" s="1"/>
      <c r="AA178" s="5"/>
      <c r="AB178" s="1"/>
    </row>
    <row r="179" spans="2:28" ht="4" customHeight="1">
      <c r="B179" s="10" t="str">
        <f>入力用シート!F24 &amp; ", " &amp; 入力用シート!G24 &amp; IF(入力用シート!H24&lt;&gt;"", ", " &amp; 入力用シート!H24 &amp; ".,", "")</f>
        <v xml:space="preserve">, </v>
      </c>
      <c r="D179" s="10" t="s">
        <v>157</v>
      </c>
      <c r="F179" s="10" t="s">
        <v>157</v>
      </c>
      <c r="H179" s="10" t="s">
        <v>157</v>
      </c>
      <c r="J179" s="10" t="s">
        <v>157</v>
      </c>
      <c r="L179" s="10" t="s">
        <v>157</v>
      </c>
      <c r="N179" s="10" t="s">
        <v>157</v>
      </c>
      <c r="P179" s="4"/>
      <c r="Q179" s="5"/>
      <c r="R179" s="4"/>
      <c r="S179" s="5"/>
      <c r="T179" s="4"/>
      <c r="U179" s="5"/>
      <c r="V179" s="4"/>
      <c r="W179" s="5"/>
      <c r="X179" s="4"/>
      <c r="Y179" s="5"/>
      <c r="Z179" s="4"/>
      <c r="AA179" s="5"/>
      <c r="AB179" s="4"/>
    </row>
    <row r="180" spans="2:28" ht="4" customHeight="1">
      <c r="B180" s="2" t="str">
        <f>入力用シート!$I$24 &amp; "-" &amp; 入力用シート!$J$24 &amp; IF(入力用シート!$K$24&lt;&gt;"", ", (alt." &amp; 入力用シート!$K$24 &amp; "m)", "")</f>
        <v>-</v>
      </c>
      <c r="D180" s="2" t="s">
        <v>137</v>
      </c>
      <c r="F180" s="2" t="s">
        <v>137</v>
      </c>
      <c r="H180" s="2" t="s">
        <v>137</v>
      </c>
      <c r="J180" s="2" t="s">
        <v>137</v>
      </c>
      <c r="L180" s="2" t="s">
        <v>137</v>
      </c>
      <c r="N180" s="2" t="s">
        <v>137</v>
      </c>
      <c r="P180" s="2"/>
      <c r="Q180" s="5"/>
      <c r="R180" s="2"/>
      <c r="S180" s="5"/>
      <c r="T180" s="2"/>
      <c r="U180" s="5"/>
      <c r="V180" s="2"/>
      <c r="W180" s="5"/>
      <c r="X180" s="2"/>
      <c r="Y180" s="5"/>
      <c r="Z180" s="2"/>
      <c r="AA180" s="5"/>
      <c r="AB180" s="2"/>
    </row>
    <row r="181" spans="2:28" ht="3" customHeight="1">
      <c r="B181" s="2" t="str">
        <f>入力用シート!$N$24&amp;"."&amp;入力用シート!$M$24&amp;"."&amp;入力用シート!$L$24&amp;" "&amp;入力用シート!$O$24&amp;", "&amp;入力用シート!$P$24</f>
        <v xml:space="preserve">.. , </v>
      </c>
      <c r="D181" s="2" t="s">
        <v>148</v>
      </c>
      <c r="F181" s="2" t="s">
        <v>148</v>
      </c>
      <c r="H181" s="2" t="s">
        <v>148</v>
      </c>
      <c r="J181" s="2" t="s">
        <v>148</v>
      </c>
      <c r="L181" s="2" t="s">
        <v>148</v>
      </c>
      <c r="N181" s="2" t="s">
        <v>148</v>
      </c>
      <c r="P181" s="2"/>
      <c r="Q181" s="5"/>
      <c r="R181" s="2"/>
      <c r="S181" s="5"/>
      <c r="T181" s="2"/>
      <c r="U181" s="5"/>
      <c r="V181" s="2"/>
      <c r="W181" s="5"/>
      <c r="X181" s="2"/>
      <c r="Y181" s="5"/>
      <c r="Z181" s="2"/>
      <c r="AA181" s="5"/>
      <c r="AB181" s="2"/>
    </row>
    <row r="182" spans="2:28" ht="4" customHeight="1">
      <c r="B182" s="2" t="str">
        <f>"N" &amp; TEXT(入力用シート!$R$24, "0.00000") &amp; ", E" &amp; TEXT(入力用シート!$S$24, "0.00000")</f>
        <v>N0.00000, E0.00000</v>
      </c>
      <c r="D182" s="2" t="s">
        <v>158</v>
      </c>
      <c r="F182" s="2" t="s">
        <v>158</v>
      </c>
      <c r="H182" s="2" t="s">
        <v>158</v>
      </c>
      <c r="J182" s="2" t="s">
        <v>158</v>
      </c>
      <c r="L182" s="2" t="s">
        <v>158</v>
      </c>
      <c r="N182" s="2" t="s">
        <v>158</v>
      </c>
      <c r="P182" s="2"/>
      <c r="Q182" s="5"/>
      <c r="R182" s="2"/>
      <c r="S182" s="5"/>
      <c r="T182" s="2"/>
      <c r="U182" s="5"/>
      <c r="V182" s="2"/>
      <c r="W182" s="5"/>
      <c r="X182" s="2"/>
      <c r="Y182" s="5"/>
      <c r="Z182" s="2"/>
      <c r="AA182" s="5"/>
      <c r="AB182" s="2"/>
    </row>
    <row r="183" spans="2:28" ht="4" customHeight="1">
      <c r="B183" s="2"/>
      <c r="D183" s="2"/>
      <c r="F183" s="2"/>
      <c r="H183" s="2"/>
      <c r="J183" s="2"/>
      <c r="L183" s="2"/>
      <c r="N183" s="2"/>
      <c r="P183" s="2"/>
      <c r="Q183" s="5"/>
      <c r="R183" s="2"/>
      <c r="S183" s="5"/>
      <c r="T183" s="2"/>
      <c r="U183" s="5"/>
      <c r="V183" s="2"/>
      <c r="W183" s="5"/>
      <c r="X183" s="2"/>
      <c r="Y183" s="5"/>
      <c r="Z183" s="2"/>
      <c r="AA183" s="5"/>
      <c r="AB183" s="2"/>
    </row>
    <row r="184" spans="2:28" ht="1" customHeight="1">
      <c r="B184" s="1"/>
      <c r="D184" s="1"/>
      <c r="F184" s="1"/>
      <c r="H184" s="1"/>
      <c r="J184" s="1"/>
      <c r="L184" s="1"/>
      <c r="N184" s="1"/>
      <c r="P184" s="1"/>
      <c r="Q184" s="5"/>
      <c r="R184" s="1"/>
      <c r="S184" s="5"/>
      <c r="T184" s="1"/>
      <c r="U184" s="5"/>
      <c r="V184" s="1"/>
      <c r="W184" s="5"/>
      <c r="X184" s="1"/>
      <c r="Y184" s="5"/>
      <c r="Z184" s="1"/>
      <c r="AA184" s="5"/>
      <c r="AB184" s="1"/>
    </row>
    <row r="185" spans="2:28" ht="4" customHeight="1">
      <c r="B185" s="1">
        <f>入力用シート!$C$25</f>
        <v>0</v>
      </c>
      <c r="D185" s="1" t="s">
        <v>146</v>
      </c>
      <c r="F185" s="1" t="s">
        <v>146</v>
      </c>
      <c r="H185" s="1" t="s">
        <v>146</v>
      </c>
      <c r="J185" s="1" t="s">
        <v>146</v>
      </c>
      <c r="L185" s="1" t="s">
        <v>146</v>
      </c>
      <c r="N185" s="1" t="s">
        <v>146</v>
      </c>
      <c r="P185" s="1"/>
      <c r="Q185" s="5"/>
      <c r="R185" s="1"/>
      <c r="S185" s="5"/>
      <c r="T185" s="1"/>
      <c r="U185" s="5"/>
      <c r="V185" s="1"/>
      <c r="W185" s="5"/>
      <c r="X185" s="1"/>
      <c r="Y185" s="5"/>
      <c r="Z185" s="1"/>
      <c r="AA185" s="5"/>
      <c r="AB185" s="1"/>
    </row>
    <row r="186" spans="2:28" ht="4" customHeight="1">
      <c r="B186" s="1" t="str">
        <f>"[" &amp; 入力用シート!$D$25 &amp; ":" &amp; 入力用シート!$E$25 &amp; "-pref.]"</f>
        <v>[:-pref.]</v>
      </c>
      <c r="D186" s="1" t="s">
        <v>17</v>
      </c>
      <c r="F186" s="1" t="s">
        <v>17</v>
      </c>
      <c r="H186" s="1" t="s">
        <v>17</v>
      </c>
      <c r="J186" s="1" t="s">
        <v>17</v>
      </c>
      <c r="L186" s="1" t="s">
        <v>17</v>
      </c>
      <c r="N186" s="1" t="s">
        <v>17</v>
      </c>
      <c r="P186" s="1"/>
      <c r="Q186" s="5"/>
      <c r="R186" s="1"/>
      <c r="S186" s="5"/>
      <c r="T186" s="1"/>
      <c r="U186" s="5"/>
      <c r="V186" s="1"/>
      <c r="W186" s="5"/>
      <c r="X186" s="1"/>
      <c r="Y186" s="5"/>
      <c r="Z186" s="1"/>
      <c r="AA186" s="5"/>
      <c r="AB186" s="1"/>
    </row>
    <row r="187" spans="2:28" ht="4" customHeight="1">
      <c r="B187" s="10" t="str">
        <f>入力用シート!F25 &amp; ", " &amp; 入力用シート!G25 &amp; IF(入力用シート!H25&lt;&gt;"", ", " &amp; 入力用シート!H25 &amp; ".,", "")</f>
        <v xml:space="preserve">, </v>
      </c>
      <c r="D187" s="10" t="s">
        <v>132</v>
      </c>
      <c r="F187" s="10" t="s">
        <v>132</v>
      </c>
      <c r="H187" s="10" t="s">
        <v>132</v>
      </c>
      <c r="J187" s="10" t="s">
        <v>132</v>
      </c>
      <c r="L187" s="10" t="s">
        <v>132</v>
      </c>
      <c r="N187" s="10" t="s">
        <v>132</v>
      </c>
      <c r="P187" s="4"/>
      <c r="Q187" s="5"/>
      <c r="R187" s="4"/>
      <c r="S187" s="5"/>
      <c r="T187" s="4"/>
      <c r="U187" s="5"/>
      <c r="V187" s="4"/>
      <c r="W187" s="5"/>
      <c r="X187" s="4"/>
      <c r="Y187" s="5"/>
      <c r="Z187" s="4"/>
      <c r="AA187" s="5"/>
      <c r="AB187" s="4"/>
    </row>
    <row r="188" spans="2:28" ht="4" customHeight="1">
      <c r="B188" s="2" t="str">
        <f>入力用シート!$I$25 &amp; "-" &amp; 入力用シート!$J$25 &amp; IF(入力用シート!$K$25&lt;&gt;"", ", (alt." &amp; 入力用シート!$K$25 &amp; "m)", "")</f>
        <v>-</v>
      </c>
      <c r="D188" s="2" t="s">
        <v>159</v>
      </c>
      <c r="F188" s="2" t="s">
        <v>159</v>
      </c>
      <c r="H188" s="2" t="s">
        <v>159</v>
      </c>
      <c r="J188" s="2" t="s">
        <v>159</v>
      </c>
      <c r="L188" s="2" t="s">
        <v>159</v>
      </c>
      <c r="N188" s="2" t="s">
        <v>159</v>
      </c>
      <c r="P188" s="2"/>
      <c r="Q188" s="5"/>
      <c r="R188" s="2"/>
      <c r="S188" s="5"/>
      <c r="T188" s="2"/>
      <c r="U188" s="5"/>
      <c r="V188" s="2"/>
      <c r="W188" s="5"/>
      <c r="X188" s="2"/>
      <c r="Y188" s="5"/>
      <c r="Z188" s="2"/>
      <c r="AA188" s="5"/>
      <c r="AB188" s="2"/>
    </row>
    <row r="189" spans="2:28" ht="3" customHeight="1">
      <c r="B189" s="2" t="str">
        <f>入力用シート!$N$25&amp;"."&amp;入力用シート!$M$25&amp;"."&amp;入力用シート!$L$25&amp;" "&amp;入力用シート!$O$25&amp;", "&amp;入力用シート!$P$25</f>
        <v xml:space="preserve">.. , </v>
      </c>
      <c r="D189" s="2" t="s">
        <v>154</v>
      </c>
      <c r="F189" s="2" t="s">
        <v>154</v>
      </c>
      <c r="H189" s="2" t="s">
        <v>154</v>
      </c>
      <c r="J189" s="2" t="s">
        <v>154</v>
      </c>
      <c r="L189" s="2" t="s">
        <v>154</v>
      </c>
      <c r="N189" s="2" t="s">
        <v>154</v>
      </c>
      <c r="P189" s="2"/>
      <c r="Q189" s="5"/>
      <c r="R189" s="2"/>
      <c r="S189" s="5"/>
      <c r="T189" s="2"/>
      <c r="U189" s="5"/>
      <c r="V189" s="2"/>
      <c r="W189" s="5"/>
      <c r="X189" s="2"/>
      <c r="Y189" s="5"/>
      <c r="Z189" s="2"/>
      <c r="AA189" s="5"/>
      <c r="AB189" s="2"/>
    </row>
    <row r="190" spans="2:28" ht="4" customHeight="1">
      <c r="B190" s="2" t="str">
        <f>"N" &amp; TEXT(入力用シート!$R$25, "0.00000") &amp; ", E" &amp; TEXT(入力用シート!$S$25, "0.00000")</f>
        <v>N0.00000, E0.00000</v>
      </c>
      <c r="D190" s="2" t="s">
        <v>160</v>
      </c>
      <c r="F190" s="2" t="s">
        <v>160</v>
      </c>
      <c r="H190" s="2" t="s">
        <v>160</v>
      </c>
      <c r="J190" s="2" t="s">
        <v>160</v>
      </c>
      <c r="L190" s="2" t="s">
        <v>160</v>
      </c>
      <c r="N190" s="2" t="s">
        <v>160</v>
      </c>
      <c r="P190" s="2"/>
      <c r="Q190" s="5"/>
      <c r="R190" s="2"/>
      <c r="S190" s="5"/>
      <c r="T190" s="2"/>
      <c r="U190" s="5"/>
      <c r="V190" s="2"/>
      <c r="W190" s="5"/>
      <c r="X190" s="2"/>
      <c r="Y190" s="5"/>
      <c r="Z190" s="2"/>
      <c r="AA190" s="5"/>
      <c r="AB190" s="2"/>
    </row>
    <row r="191" spans="2:28" ht="4" customHeight="1">
      <c r="B191" s="2"/>
      <c r="D191" s="2"/>
      <c r="F191" s="2"/>
      <c r="H191" s="2"/>
      <c r="J191" s="2"/>
      <c r="L191" s="2"/>
      <c r="N191" s="2"/>
      <c r="P191" s="2"/>
      <c r="Q191" s="5"/>
      <c r="R191" s="2"/>
      <c r="S191" s="5"/>
      <c r="T191" s="2"/>
      <c r="U191" s="5"/>
      <c r="V191" s="2"/>
      <c r="W191" s="5"/>
      <c r="X191" s="2"/>
      <c r="Y191" s="5"/>
      <c r="Z191" s="2"/>
      <c r="AA191" s="5"/>
      <c r="AB191" s="2"/>
    </row>
    <row r="192" spans="2:28" ht="1" customHeight="1">
      <c r="B192" s="1"/>
      <c r="D192" s="1"/>
      <c r="F192" s="1"/>
      <c r="H192" s="1"/>
      <c r="J192" s="1"/>
      <c r="L192" s="1"/>
      <c r="N192" s="1"/>
      <c r="P192" s="1"/>
      <c r="Q192" s="5"/>
      <c r="R192" s="1"/>
      <c r="S192" s="5"/>
      <c r="T192" s="1"/>
      <c r="U192" s="5"/>
      <c r="V192" s="1"/>
      <c r="W192" s="5"/>
      <c r="X192" s="1"/>
      <c r="Y192" s="5"/>
      <c r="Z192" s="1"/>
      <c r="AA192" s="5"/>
      <c r="AB192" s="1"/>
    </row>
    <row r="193" spans="2:28" ht="4" customHeight="1">
      <c r="B193" s="1">
        <v>0</v>
      </c>
      <c r="D193" s="1">
        <v>0</v>
      </c>
      <c r="F193" s="1">
        <v>0</v>
      </c>
      <c r="H193" s="1">
        <v>0</v>
      </c>
      <c r="J193" s="1">
        <v>0</v>
      </c>
      <c r="L193" s="1">
        <v>0</v>
      </c>
      <c r="N193" s="1">
        <v>0</v>
      </c>
      <c r="P193" s="1"/>
      <c r="Q193" s="5"/>
      <c r="R193" s="1"/>
      <c r="S193" s="5"/>
      <c r="T193" s="1"/>
      <c r="U193" s="5"/>
      <c r="V193" s="1"/>
      <c r="W193" s="5"/>
      <c r="X193" s="1"/>
      <c r="Y193" s="5"/>
      <c r="Z193" s="1"/>
      <c r="AA193" s="5"/>
      <c r="AB193" s="1"/>
    </row>
    <row r="194" spans="2:28" ht="4" customHeight="1">
      <c r="B194" s="1" t="s">
        <v>161</v>
      </c>
      <c r="D194" s="1" t="s">
        <v>161</v>
      </c>
      <c r="F194" s="1" t="s">
        <v>161</v>
      </c>
      <c r="H194" s="1" t="s">
        <v>161</v>
      </c>
      <c r="J194" s="1" t="s">
        <v>161</v>
      </c>
      <c r="L194" s="1" t="s">
        <v>161</v>
      </c>
      <c r="N194" s="1" t="s">
        <v>161</v>
      </c>
      <c r="P194" s="1"/>
      <c r="Q194" s="5"/>
      <c r="R194" s="1"/>
      <c r="S194" s="5"/>
      <c r="T194" s="1"/>
      <c r="U194" s="5"/>
      <c r="V194" s="1"/>
      <c r="W194" s="5"/>
      <c r="X194" s="1"/>
      <c r="Y194" s="5"/>
      <c r="Z194" s="1"/>
      <c r="AA194" s="5"/>
      <c r="AB194" s="1"/>
    </row>
    <row r="195" spans="2:28" ht="4" customHeight="1">
      <c r="B195" s="10" t="s">
        <v>162</v>
      </c>
      <c r="D195" s="10" t="s">
        <v>162</v>
      </c>
      <c r="F195" s="10" t="s">
        <v>162</v>
      </c>
      <c r="H195" s="10" t="s">
        <v>162</v>
      </c>
      <c r="J195" s="10" t="s">
        <v>162</v>
      </c>
      <c r="L195" s="10" t="s">
        <v>162</v>
      </c>
      <c r="N195" s="10" t="s">
        <v>162</v>
      </c>
      <c r="P195" s="4"/>
      <c r="Q195" s="5"/>
      <c r="R195" s="4"/>
      <c r="S195" s="5"/>
      <c r="T195" s="4"/>
      <c r="U195" s="5"/>
      <c r="V195" s="4"/>
      <c r="W195" s="5"/>
      <c r="X195" s="4"/>
      <c r="Y195" s="5"/>
      <c r="Z195" s="4"/>
      <c r="AA195" s="5"/>
      <c r="AB195" s="4"/>
    </row>
    <row r="196" spans="2:28" ht="4" customHeight="1">
      <c r="B196" s="2" t="s">
        <v>163</v>
      </c>
      <c r="D196" s="2" t="s">
        <v>163</v>
      </c>
      <c r="F196" s="2" t="s">
        <v>163</v>
      </c>
      <c r="H196" s="2" t="s">
        <v>163</v>
      </c>
      <c r="J196" s="2" t="s">
        <v>163</v>
      </c>
      <c r="L196" s="2" t="s">
        <v>163</v>
      </c>
      <c r="N196" s="2" t="s">
        <v>163</v>
      </c>
      <c r="P196" s="2"/>
      <c r="Q196" s="5"/>
      <c r="R196" s="2"/>
      <c r="S196" s="5"/>
      <c r="T196" s="2"/>
      <c r="U196" s="5"/>
      <c r="V196" s="2"/>
      <c r="W196" s="5"/>
      <c r="X196" s="2"/>
      <c r="Y196" s="5"/>
      <c r="Z196" s="2"/>
      <c r="AA196" s="5"/>
      <c r="AB196" s="2"/>
    </row>
    <row r="197" spans="2:28" ht="3" customHeight="1">
      <c r="B197" s="2" t="s">
        <v>164</v>
      </c>
      <c r="D197" s="2" t="s">
        <v>164</v>
      </c>
      <c r="F197" s="2" t="s">
        <v>164</v>
      </c>
      <c r="H197" s="2" t="s">
        <v>164</v>
      </c>
      <c r="J197" s="2" t="s">
        <v>164</v>
      </c>
      <c r="L197" s="2" t="s">
        <v>164</v>
      </c>
      <c r="N197" s="2" t="s">
        <v>164</v>
      </c>
      <c r="P197" s="2"/>
      <c r="Q197" s="5"/>
      <c r="R197" s="2"/>
      <c r="S197" s="5"/>
      <c r="T197" s="2"/>
      <c r="U197" s="5"/>
      <c r="V197" s="2"/>
      <c r="W197" s="5"/>
      <c r="X197" s="2"/>
      <c r="Y197" s="5"/>
      <c r="Z197" s="2"/>
      <c r="AA197" s="5"/>
      <c r="AB197" s="2"/>
    </row>
    <row r="198" spans="2:28" ht="4" customHeight="1">
      <c r="B198" s="2" t="s">
        <v>165</v>
      </c>
      <c r="D198" s="2" t="s">
        <v>165</v>
      </c>
      <c r="F198" s="2" t="s">
        <v>165</v>
      </c>
      <c r="H198" s="2" t="s">
        <v>165</v>
      </c>
      <c r="J198" s="2" t="s">
        <v>165</v>
      </c>
      <c r="L198" s="2" t="s">
        <v>165</v>
      </c>
      <c r="N198" s="2" t="s">
        <v>165</v>
      </c>
      <c r="P198" s="2"/>
      <c r="Q198" s="5"/>
      <c r="R198" s="2"/>
      <c r="S198" s="5"/>
      <c r="T198" s="2"/>
      <c r="U198" s="5"/>
      <c r="V198" s="2"/>
      <c r="W198" s="5"/>
      <c r="X198" s="2"/>
      <c r="Y198" s="5"/>
      <c r="Z198" s="2"/>
      <c r="AA198" s="5"/>
      <c r="AB198" s="2"/>
    </row>
    <row r="199" spans="2:28" ht="4" customHeight="1">
      <c r="B199" s="2"/>
      <c r="D199" s="2"/>
      <c r="F199" s="2"/>
      <c r="H199" s="2"/>
      <c r="J199" s="2"/>
      <c r="L199" s="2"/>
      <c r="N199" s="2"/>
      <c r="P199" s="2"/>
      <c r="Q199" s="5"/>
      <c r="R199" s="2"/>
      <c r="S199" s="5"/>
      <c r="T199" s="2"/>
      <c r="U199" s="5"/>
      <c r="V199" s="2"/>
      <c r="W199" s="5"/>
      <c r="X199" s="2"/>
      <c r="Y199" s="5"/>
      <c r="Z199" s="2"/>
      <c r="AA199" s="5"/>
      <c r="AB199" s="2"/>
    </row>
    <row r="200" spans="2:28" ht="1" customHeight="1">
      <c r="B200" s="1"/>
      <c r="D200" s="1"/>
      <c r="F200" s="1"/>
      <c r="H200" s="1"/>
      <c r="J200" s="1"/>
      <c r="L200" s="1"/>
      <c r="N200" s="1"/>
      <c r="P200" s="1"/>
      <c r="Q200" s="5"/>
      <c r="R200" s="1"/>
      <c r="S200" s="5"/>
      <c r="T200" s="1"/>
      <c r="U200" s="5"/>
      <c r="V200" s="1"/>
      <c r="W200" s="5"/>
      <c r="X200" s="1"/>
      <c r="Y200" s="5"/>
      <c r="Z200" s="1"/>
      <c r="AA200" s="5"/>
      <c r="AB200" s="1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D1586-944F-AB42-818E-7A6FA8E0A29A}">
  <sheetPr codeName="Sheet3"/>
  <dimension ref="B1:U50"/>
  <sheetViews>
    <sheetView zoomScale="90" workbookViewId="0">
      <selection activeCell="C2" sqref="C2"/>
    </sheetView>
  </sheetViews>
  <sheetFormatPr baseColWidth="10" defaultRowHeight="20"/>
  <cols>
    <col min="1" max="1" width="12.42578125" bestFit="1" customWidth="1"/>
    <col min="3" max="3" width="19.5703125" bestFit="1" customWidth="1"/>
    <col min="4" max="4" width="4.85546875" bestFit="1" customWidth="1"/>
    <col min="5" max="5" width="12.85546875" bestFit="1" customWidth="1"/>
    <col min="6" max="6" width="19.85546875" bestFit="1" customWidth="1"/>
    <col min="7" max="7" width="12" bestFit="1" customWidth="1"/>
    <col min="8" max="8" width="9.28515625" customWidth="1"/>
    <col min="9" max="9" width="13" bestFit="1" customWidth="1"/>
    <col min="10" max="10" width="12" bestFit="1" customWidth="1"/>
    <col min="11" max="11" width="5.85546875" bestFit="1" customWidth="1"/>
    <col min="12" max="12" width="5.7109375" bestFit="1" customWidth="1"/>
    <col min="13" max="13" width="3.42578125" bestFit="1" customWidth="1"/>
    <col min="14" max="14" width="5.85546875" bestFit="1" customWidth="1"/>
    <col min="15" max="15" width="8.5703125" style="7" bestFit="1" customWidth="1"/>
    <col min="16" max="16" width="17.140625" style="7" bestFit="1" customWidth="1"/>
    <col min="17" max="17" width="37.7109375" style="7" bestFit="1" customWidth="1"/>
    <col min="18" max="18" width="19.85546875" style="8" bestFit="1" customWidth="1"/>
    <col min="19" max="19" width="19.85546875" style="7" bestFit="1" customWidth="1"/>
    <col min="20" max="20" width="15.7109375" bestFit="1" customWidth="1"/>
  </cols>
  <sheetData>
    <row r="1" spans="2:21"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19</v>
      </c>
      <c r="H1" t="s">
        <v>18</v>
      </c>
      <c r="I1" t="s">
        <v>11</v>
      </c>
      <c r="J1" t="s">
        <v>16</v>
      </c>
      <c r="K1" t="s">
        <v>14</v>
      </c>
      <c r="L1" t="s">
        <v>6</v>
      </c>
      <c r="M1" t="s">
        <v>7</v>
      </c>
      <c r="N1" t="s">
        <v>8</v>
      </c>
      <c r="O1" t="s">
        <v>0</v>
      </c>
      <c r="P1" t="s">
        <v>9</v>
      </c>
      <c r="Q1" s="7" t="s">
        <v>1</v>
      </c>
      <c r="R1" s="7" t="s">
        <v>13</v>
      </c>
      <c r="S1" s="7" t="s">
        <v>12</v>
      </c>
      <c r="T1" s="7"/>
    </row>
    <row r="2" spans="2:21">
      <c r="B2" s="12">
        <v>1</v>
      </c>
      <c r="C2" s="12" t="s">
        <v>198</v>
      </c>
      <c r="D2" s="12" t="s">
        <v>197</v>
      </c>
      <c r="E2" s="12" t="s">
        <v>199</v>
      </c>
      <c r="F2" s="12"/>
      <c r="G2" s="12" t="s">
        <v>200</v>
      </c>
      <c r="H2" s="12" t="s">
        <v>201</v>
      </c>
      <c r="I2" s="12" t="s">
        <v>202</v>
      </c>
      <c r="J2" s="12" t="s">
        <v>203</v>
      </c>
      <c r="K2" s="12"/>
      <c r="L2" s="12">
        <v>2025</v>
      </c>
      <c r="M2" s="12" t="s">
        <v>209</v>
      </c>
      <c r="N2" s="12">
        <v>15</v>
      </c>
      <c r="O2" s="12" t="s">
        <v>208</v>
      </c>
      <c r="P2" s="12"/>
      <c r="Q2" s="12" t="s">
        <v>181</v>
      </c>
      <c r="R2" s="12" t="s">
        <v>168</v>
      </c>
      <c r="S2" s="12"/>
      <c r="T2" s="12"/>
      <c r="U2" s="12"/>
    </row>
    <row r="3" spans="2:21">
      <c r="B3" s="12">
        <v>2</v>
      </c>
      <c r="C3" s="12" t="s">
        <v>204</v>
      </c>
      <c r="D3" s="12" t="s">
        <v>197</v>
      </c>
      <c r="E3" s="12" t="s">
        <v>205</v>
      </c>
      <c r="F3" s="12" t="s">
        <v>206</v>
      </c>
      <c r="G3" s="12" t="s">
        <v>200</v>
      </c>
      <c r="H3" s="12" t="s">
        <v>201</v>
      </c>
      <c r="I3" s="12" t="s">
        <v>207</v>
      </c>
      <c r="J3" s="12" t="s">
        <v>203</v>
      </c>
      <c r="K3" s="12"/>
      <c r="L3" s="12">
        <v>2025</v>
      </c>
      <c r="M3" s="12" t="s">
        <v>182</v>
      </c>
      <c r="N3" s="12">
        <v>9</v>
      </c>
      <c r="O3" s="12" t="s">
        <v>183</v>
      </c>
      <c r="P3" s="12" t="s">
        <v>180</v>
      </c>
      <c r="Q3" s="12" t="s">
        <v>184</v>
      </c>
      <c r="R3" s="12" t="s">
        <v>169</v>
      </c>
      <c r="S3" s="12"/>
      <c r="T3" s="12"/>
      <c r="U3" s="12"/>
    </row>
    <row r="4" spans="2:21">
      <c r="B4" s="12">
        <v>3</v>
      </c>
      <c r="C4" s="12"/>
      <c r="D4" s="12" t="s">
        <v>197</v>
      </c>
      <c r="E4" s="12"/>
      <c r="F4" s="12"/>
      <c r="G4" s="12"/>
      <c r="H4" s="12"/>
      <c r="I4" s="12"/>
      <c r="J4" s="12"/>
      <c r="K4" s="12"/>
      <c r="L4" s="12">
        <v>2025</v>
      </c>
      <c r="M4" s="12" t="s">
        <v>166</v>
      </c>
      <c r="N4" s="12">
        <v>15</v>
      </c>
      <c r="O4" s="12" t="s">
        <v>183</v>
      </c>
      <c r="P4" s="12" t="s">
        <v>180</v>
      </c>
      <c r="Q4" s="12" t="s">
        <v>185</v>
      </c>
      <c r="R4" s="12" t="s">
        <v>170</v>
      </c>
      <c r="S4" s="12"/>
      <c r="T4" s="12"/>
      <c r="U4" s="12"/>
    </row>
    <row r="5" spans="2:21">
      <c r="B5" s="12">
        <v>4</v>
      </c>
      <c r="C5" s="12"/>
      <c r="D5" s="12" t="s">
        <v>197</v>
      </c>
      <c r="E5" s="12"/>
      <c r="F5" s="12"/>
      <c r="G5" s="12"/>
      <c r="H5" s="12"/>
      <c r="I5" s="12"/>
      <c r="J5" s="12"/>
      <c r="K5" s="12"/>
      <c r="L5" s="12">
        <v>2025</v>
      </c>
      <c r="M5" s="12" t="s">
        <v>167</v>
      </c>
      <c r="N5" s="12">
        <v>7</v>
      </c>
      <c r="O5" s="12" t="s">
        <v>183</v>
      </c>
      <c r="P5" s="12" t="s">
        <v>180</v>
      </c>
      <c r="Q5" s="12" t="s">
        <v>186</v>
      </c>
      <c r="R5" s="12" t="s">
        <v>171</v>
      </c>
      <c r="S5" s="12"/>
      <c r="T5" s="12"/>
      <c r="U5" s="12"/>
    </row>
    <row r="6" spans="2:21">
      <c r="B6" s="12">
        <v>5</v>
      </c>
      <c r="C6" s="12"/>
      <c r="D6" s="12" t="s">
        <v>197</v>
      </c>
      <c r="E6" s="12"/>
      <c r="F6" s="12"/>
      <c r="G6" s="12"/>
      <c r="H6" s="12"/>
      <c r="I6" s="12"/>
      <c r="J6" s="12"/>
      <c r="K6" s="12"/>
      <c r="L6" s="12">
        <v>2023</v>
      </c>
      <c r="M6" s="12" t="s">
        <v>167</v>
      </c>
      <c r="N6" s="12">
        <v>10</v>
      </c>
      <c r="O6" s="12" t="s">
        <v>183</v>
      </c>
      <c r="P6" s="12" t="s">
        <v>180</v>
      </c>
      <c r="Q6" s="12" t="s">
        <v>186</v>
      </c>
      <c r="R6" s="12" t="s">
        <v>171</v>
      </c>
      <c r="S6" s="12"/>
      <c r="T6" s="12"/>
      <c r="U6" s="12"/>
    </row>
    <row r="7" spans="2:21">
      <c r="B7" s="12">
        <v>6</v>
      </c>
      <c r="C7" s="12"/>
      <c r="D7" s="12" t="s">
        <v>197</v>
      </c>
      <c r="E7" s="12"/>
      <c r="F7" s="12"/>
      <c r="G7" s="12"/>
      <c r="H7" s="12"/>
      <c r="I7" s="12"/>
      <c r="J7" s="12"/>
      <c r="K7" s="12"/>
      <c r="L7" s="12">
        <v>2023</v>
      </c>
      <c r="M7" s="12" t="s">
        <v>167</v>
      </c>
      <c r="N7" s="12">
        <v>10</v>
      </c>
      <c r="O7" s="12" t="s">
        <v>183</v>
      </c>
      <c r="P7" s="12" t="s">
        <v>180</v>
      </c>
      <c r="Q7" s="12" t="s">
        <v>187</v>
      </c>
      <c r="R7" s="12" t="s">
        <v>172</v>
      </c>
      <c r="S7" s="12"/>
      <c r="T7" s="12"/>
      <c r="U7" s="12"/>
    </row>
    <row r="8" spans="2:21">
      <c r="B8" s="12">
        <v>7</v>
      </c>
      <c r="C8" s="12"/>
      <c r="D8" s="12" t="s">
        <v>197</v>
      </c>
      <c r="E8" s="12"/>
      <c r="F8" s="12"/>
      <c r="G8" s="12"/>
      <c r="H8" s="12"/>
      <c r="I8" s="12"/>
      <c r="J8" s="12"/>
      <c r="K8" s="12"/>
      <c r="L8" s="12">
        <v>2023</v>
      </c>
      <c r="M8" s="12" t="s">
        <v>167</v>
      </c>
      <c r="N8" s="12">
        <v>13</v>
      </c>
      <c r="O8" s="12" t="s">
        <v>183</v>
      </c>
      <c r="P8" s="12" t="s">
        <v>180</v>
      </c>
      <c r="Q8" s="12" t="s">
        <v>188</v>
      </c>
      <c r="R8" s="12" t="s">
        <v>173</v>
      </c>
      <c r="S8" s="12"/>
      <c r="T8" s="12"/>
      <c r="U8" s="12"/>
    </row>
    <row r="9" spans="2:21">
      <c r="B9" s="12">
        <v>8</v>
      </c>
      <c r="C9" s="12"/>
      <c r="D9" s="12" t="s">
        <v>197</v>
      </c>
      <c r="E9" s="12"/>
      <c r="F9" s="12"/>
      <c r="G9" s="12"/>
      <c r="H9" s="12"/>
      <c r="I9" s="12"/>
      <c r="J9" s="12"/>
      <c r="K9" s="12"/>
      <c r="L9" s="12">
        <v>2024</v>
      </c>
      <c r="M9" s="12" t="s">
        <v>179</v>
      </c>
      <c r="N9" s="12">
        <v>12</v>
      </c>
      <c r="O9" s="12" t="s">
        <v>183</v>
      </c>
      <c r="P9" s="12" t="s">
        <v>180</v>
      </c>
      <c r="Q9" s="12" t="s">
        <v>189</v>
      </c>
      <c r="R9" s="12" t="s">
        <v>174</v>
      </c>
      <c r="S9" s="12"/>
      <c r="T9" s="12"/>
      <c r="U9" s="12"/>
    </row>
    <row r="10" spans="2:21">
      <c r="B10" s="12">
        <v>9</v>
      </c>
      <c r="C10" s="12"/>
      <c r="D10" s="12" t="s">
        <v>197</v>
      </c>
      <c r="E10" s="12"/>
      <c r="F10" s="12"/>
      <c r="G10" s="12"/>
      <c r="H10" s="12"/>
      <c r="I10" s="12"/>
      <c r="J10" s="12"/>
      <c r="K10" s="12"/>
      <c r="L10" s="12">
        <v>2025</v>
      </c>
      <c r="M10" s="12" t="s">
        <v>167</v>
      </c>
      <c r="N10" s="12">
        <v>30</v>
      </c>
      <c r="O10" s="12" t="s">
        <v>183</v>
      </c>
      <c r="P10" s="12" t="s">
        <v>180</v>
      </c>
      <c r="Q10" s="12" t="s">
        <v>190</v>
      </c>
      <c r="R10" s="12" t="s">
        <v>175</v>
      </c>
      <c r="S10" s="12"/>
      <c r="T10" s="12"/>
      <c r="U10" s="12"/>
    </row>
    <row r="11" spans="2:21">
      <c r="B11" s="12">
        <v>10</v>
      </c>
      <c r="C11" s="12"/>
      <c r="D11" s="12" t="s">
        <v>197</v>
      </c>
      <c r="E11" s="12"/>
      <c r="F11" s="12"/>
      <c r="G11" s="12"/>
      <c r="H11" s="12"/>
      <c r="I11" s="12"/>
      <c r="J11" s="12"/>
      <c r="K11" s="12"/>
      <c r="L11" s="12">
        <v>2024</v>
      </c>
      <c r="M11" s="12" t="s">
        <v>167</v>
      </c>
      <c r="N11" s="12">
        <v>5</v>
      </c>
      <c r="O11" s="12" t="s">
        <v>183</v>
      </c>
      <c r="P11" s="12" t="s">
        <v>180</v>
      </c>
      <c r="Q11" s="12" t="s">
        <v>191</v>
      </c>
      <c r="R11" s="12" t="s">
        <v>176</v>
      </c>
      <c r="S11" s="12"/>
      <c r="T11" s="12"/>
      <c r="U11" s="12"/>
    </row>
    <row r="12" spans="2:21">
      <c r="B12" s="12">
        <v>11</v>
      </c>
      <c r="C12" s="12"/>
      <c r="D12" s="12" t="s">
        <v>197</v>
      </c>
      <c r="E12" s="12"/>
      <c r="F12" s="12"/>
      <c r="G12" s="12"/>
      <c r="H12" s="12"/>
      <c r="I12" s="12"/>
      <c r="J12" s="12"/>
      <c r="K12" s="12"/>
      <c r="L12" s="12">
        <v>2024</v>
      </c>
      <c r="M12" s="12" t="s">
        <v>192</v>
      </c>
      <c r="N12" s="12">
        <v>28</v>
      </c>
      <c r="O12" s="12" t="s">
        <v>183</v>
      </c>
      <c r="P12" s="12" t="s">
        <v>180</v>
      </c>
      <c r="Q12" s="12" t="s">
        <v>193</v>
      </c>
      <c r="R12" s="12" t="s">
        <v>177</v>
      </c>
      <c r="S12" s="12"/>
      <c r="T12" s="12"/>
      <c r="U12" s="12"/>
    </row>
    <row r="13" spans="2:21">
      <c r="B13" s="12">
        <v>12</v>
      </c>
      <c r="C13" s="12"/>
      <c r="D13" s="12" t="s">
        <v>197</v>
      </c>
      <c r="E13" s="12"/>
      <c r="F13" s="12"/>
      <c r="G13" s="12"/>
      <c r="H13" s="12"/>
      <c r="I13" s="12"/>
      <c r="J13" s="12"/>
      <c r="K13" s="12"/>
      <c r="L13" s="12">
        <v>2025</v>
      </c>
      <c r="M13" s="12" t="s">
        <v>179</v>
      </c>
      <c r="N13" s="12">
        <v>19</v>
      </c>
      <c r="O13" s="12" t="s">
        <v>194</v>
      </c>
      <c r="P13" s="12" t="s">
        <v>195</v>
      </c>
      <c r="Q13" s="12" t="s">
        <v>196</v>
      </c>
      <c r="R13" s="12" t="s">
        <v>178</v>
      </c>
      <c r="S13" s="12"/>
      <c r="T13" s="12"/>
      <c r="U13" s="12"/>
    </row>
    <row r="14" spans="2:21">
      <c r="B14" s="12">
        <v>13</v>
      </c>
      <c r="C14" s="12"/>
      <c r="D14" s="12"/>
      <c r="E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2:21">
      <c r="B15" s="12">
        <v>14</v>
      </c>
      <c r="C15" s="12"/>
      <c r="D15" s="12"/>
      <c r="E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2:21">
      <c r="B16" s="12">
        <v>15</v>
      </c>
      <c r="C16" s="12"/>
      <c r="D16" s="12"/>
      <c r="E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2:19">
      <c r="B17" s="12">
        <v>16</v>
      </c>
      <c r="C17" s="12"/>
      <c r="D17" s="12"/>
      <c r="E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2:19">
      <c r="B18" s="12">
        <v>17</v>
      </c>
      <c r="C18" s="12"/>
      <c r="D18" s="12"/>
      <c r="E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2: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2:19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2:19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2:19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2:19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2:19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2:19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2:19">
      <c r="C26" s="12"/>
      <c r="D26" s="12"/>
      <c r="E26" s="12"/>
      <c r="F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2:19">
      <c r="C27" s="12"/>
      <c r="D27" s="12"/>
      <c r="E27" s="12"/>
      <c r="F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2:19">
      <c r="C28" s="12"/>
      <c r="D28" s="12"/>
      <c r="E28" s="12"/>
      <c r="F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2:19">
      <c r="C29" s="12"/>
      <c r="D29" s="12"/>
      <c r="E29" s="12"/>
      <c r="F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2:19">
      <c r="C30" s="12"/>
      <c r="D30" s="12"/>
      <c r="E30" s="12"/>
      <c r="F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2:19">
      <c r="C31" s="12"/>
      <c r="D31" s="12"/>
      <c r="E31" s="12"/>
      <c r="F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2:19">
      <c r="C32" s="12"/>
      <c r="D32" s="12"/>
      <c r="E32" s="12"/>
      <c r="F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3:19">
      <c r="C33" s="12"/>
      <c r="D33" s="12"/>
      <c r="E33" s="12"/>
      <c r="F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3:19">
      <c r="C34" s="12"/>
      <c r="D34" s="12"/>
      <c r="E34" s="12"/>
      <c r="F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3:19">
      <c r="C35" s="12"/>
      <c r="D35" s="12"/>
      <c r="E35" s="12"/>
      <c r="F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3:19">
      <c r="C36" s="12"/>
      <c r="D36" s="12"/>
      <c r="E36" s="12"/>
      <c r="F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3:19">
      <c r="C37" s="12"/>
      <c r="D37" s="12"/>
      <c r="E37" s="12"/>
      <c r="F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3:19">
      <c r="C38" s="12"/>
      <c r="D38" s="12"/>
      <c r="E38" s="12"/>
      <c r="F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3:19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3:19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3:19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3:19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3:19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3:19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3:19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3:19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3:19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3:19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3:19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3:19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43D5-059C-7A47-B8B2-B7BD24A0E52B}">
  <sheetPr codeName="Sheet4"/>
  <dimension ref="A1"/>
  <sheetViews>
    <sheetView workbookViewId="0">
      <selection activeCell="A2" sqref="A2:A26"/>
    </sheetView>
  </sheetViews>
  <sheetFormatPr baseColWidth="10" defaultRowHeight="20"/>
  <sheetData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手打ち入力</vt:lpstr>
      <vt:lpstr>自動入力ラベル</vt:lpstr>
      <vt:lpstr>入力用シート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　真毅</dc:creator>
  <cp:lastModifiedBy>山口　真毅</cp:lastModifiedBy>
  <cp:lastPrinted>2025-09-11T09:17:59Z</cp:lastPrinted>
  <dcterms:created xsi:type="dcterms:W3CDTF">2025-01-18T07:35:03Z</dcterms:created>
  <dcterms:modified xsi:type="dcterms:W3CDTF">2025-11-17T12:53:15Z</dcterms:modified>
</cp:coreProperties>
</file>